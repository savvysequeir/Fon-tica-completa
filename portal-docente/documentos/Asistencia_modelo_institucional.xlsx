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C6F02F5-F0C7-4FE0-84F2-787B19F742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istencia" sheetId="3" r:id="rId1"/>
    <sheet name="Hoja1" sheetId="1" state="hidden" r:id="rId2"/>
    <sheet name="Hoja2" sheetId="2" state="hidden" r:id="rId3"/>
  </sheets>
  <definedNames>
    <definedName name="_xlnm._FilterDatabase" localSheetId="0" hidden="1">Asistencia!$A$10:$W$46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3" l="1"/>
  <c r="V29" i="3"/>
  <c r="W29" i="3" s="1"/>
  <c r="V28" i="3"/>
  <c r="W28" i="3" s="1"/>
  <c r="T29" i="3"/>
  <c r="U29" i="3" s="1"/>
  <c r="T28" i="3"/>
  <c r="U28" i="3" s="1"/>
  <c r="T12" i="3"/>
  <c r="U12" i="3" s="1"/>
  <c r="T22" i="3"/>
  <c r="U22" i="3" s="1"/>
  <c r="V22" i="3"/>
  <c r="W22" i="3" s="1"/>
  <c r="T41" i="3"/>
  <c r="U41" i="3" s="1"/>
  <c r="V41" i="3"/>
  <c r="W41" i="3" s="1"/>
  <c r="T11" i="3"/>
  <c r="U11" i="3" s="1"/>
  <c r="V11" i="3"/>
  <c r="W11" i="3" s="1"/>
  <c r="T13" i="3"/>
  <c r="U13" i="3" s="1"/>
  <c r="V13" i="3"/>
  <c r="W13" i="3" s="1"/>
  <c r="T14" i="3"/>
  <c r="U14" i="3" s="1"/>
  <c r="V14" i="3"/>
  <c r="W14" i="3" s="1"/>
  <c r="T25" i="3"/>
  <c r="U25" i="3" s="1"/>
  <c r="V25" i="3"/>
  <c r="W25" i="3" s="1"/>
  <c r="T31" i="3"/>
  <c r="U31" i="3" s="1"/>
  <c r="V31" i="3"/>
  <c r="W31" i="3" s="1"/>
  <c r="T34" i="3"/>
  <c r="U34" i="3" s="1"/>
  <c r="V34" i="3"/>
  <c r="W3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3" i="3"/>
  <c r="W23" i="3" s="1"/>
  <c r="V24" i="3"/>
  <c r="W24" i="3" s="1"/>
  <c r="V26" i="3"/>
  <c r="W26" i="3" s="1"/>
  <c r="V27" i="3"/>
  <c r="W27" i="3" s="1"/>
  <c r="V30" i="3"/>
  <c r="W30" i="3" s="1"/>
  <c r="V32" i="3"/>
  <c r="W32" i="3" s="1"/>
  <c r="V33" i="3"/>
  <c r="W33" i="3" s="1"/>
  <c r="V37" i="3"/>
  <c r="W37" i="3" s="1"/>
  <c r="V42" i="3"/>
  <c r="W42" i="3" s="1"/>
  <c r="V43" i="3"/>
  <c r="W43" i="3" s="1"/>
  <c r="V35" i="3"/>
  <c r="W35" i="3" s="1"/>
  <c r="V36" i="3"/>
  <c r="W36" i="3" s="1"/>
  <c r="V38" i="3"/>
  <c r="W38" i="3" s="1"/>
  <c r="V39" i="3"/>
  <c r="W39" i="3" s="1"/>
  <c r="V40" i="3"/>
  <c r="W40" i="3" s="1"/>
  <c r="V44" i="3"/>
  <c r="W44" i="3" s="1"/>
  <c r="V45" i="3"/>
  <c r="W45" i="3" s="1"/>
  <c r="V46" i="3"/>
  <c r="W46" i="3" s="1"/>
  <c r="V12" i="3"/>
  <c r="W12" i="3" s="1"/>
  <c r="T15" i="3"/>
  <c r="U15" i="3" s="1"/>
  <c r="T16" i="3"/>
  <c r="U16" i="3" s="1"/>
  <c r="T17" i="3"/>
  <c r="U17" i="3" s="1"/>
  <c r="T18" i="3"/>
  <c r="U18" i="3" s="1"/>
  <c r="T19" i="3"/>
  <c r="U19" i="3" s="1"/>
  <c r="T20" i="3"/>
  <c r="U20" i="3" s="1"/>
  <c r="T21" i="3"/>
  <c r="U21" i="3" s="1"/>
  <c r="T23" i="3"/>
  <c r="U23" i="3" s="1"/>
  <c r="T24" i="3"/>
  <c r="U24" i="3" s="1"/>
  <c r="T26" i="3"/>
  <c r="U26" i="3" s="1"/>
  <c r="T27" i="3"/>
  <c r="U27" i="3" s="1"/>
  <c r="T30" i="3"/>
  <c r="U30" i="3" s="1"/>
  <c r="T32" i="3"/>
  <c r="U32" i="3" s="1"/>
  <c r="T33" i="3"/>
  <c r="U33" i="3" s="1"/>
  <c r="T37" i="3"/>
  <c r="U37" i="3" s="1"/>
  <c r="T42" i="3"/>
  <c r="U42" i="3" s="1"/>
  <c r="T43" i="3"/>
  <c r="U43" i="3" s="1"/>
  <c r="T35" i="3"/>
  <c r="U35" i="3" s="1"/>
  <c r="T36" i="3"/>
  <c r="U36" i="3" s="1"/>
  <c r="T38" i="3"/>
  <c r="U38" i="3" s="1"/>
  <c r="T39" i="3"/>
  <c r="U39" i="3" s="1"/>
  <c r="T40" i="3"/>
  <c r="U40" i="3" s="1"/>
  <c r="T44" i="3"/>
  <c r="U44" i="3" s="1"/>
  <c r="T45" i="3"/>
  <c r="U45" i="3" s="1"/>
  <c r="T46" i="3"/>
  <c r="U46" i="3" s="1"/>
  <c r="C59" i="3" l="1"/>
  <c r="C60" i="3"/>
  <c r="C55" i="3"/>
</calcChain>
</file>

<file path=xl/sharedStrings.xml><?xml version="1.0" encoding="utf-8"?>
<sst xmlns="http://schemas.openxmlformats.org/spreadsheetml/2006/main" count="89" uniqueCount="82">
  <si>
    <t>No</t>
  </si>
  <si>
    <t>Apellidos y Nombres</t>
  </si>
  <si>
    <t>Acevedo Segura Pedro José</t>
  </si>
  <si>
    <t>Aguirre Flores Cilenia Tatiana</t>
  </si>
  <si>
    <t>Areas Vasquez Brandy Juleysi</t>
  </si>
  <si>
    <t>Arteaga Granados Zurisadai Jaasiel</t>
  </si>
  <si>
    <t>Burgos López Sayma Antonieta</t>
  </si>
  <si>
    <t>Bustamante Hernandez María Fernanda</t>
  </si>
  <si>
    <t>Caracas Benitez Elisa Eliane</t>
  </si>
  <si>
    <t>Castillo Gutierrez Brandon Nauj</t>
  </si>
  <si>
    <t>Castillo López Shirley Odeth</t>
  </si>
  <si>
    <t>Castilla Sequeira Stephany</t>
  </si>
  <si>
    <t>Cisneros Marenco Anjhely Lestania</t>
  </si>
  <si>
    <t>Cortez Solis Brinnehy Nohemy</t>
  </si>
  <si>
    <t>Cuarezma Zamora Drina Vanessa</t>
  </si>
  <si>
    <t>Espinoza Pravia Verónica Alexandra</t>
  </si>
  <si>
    <t>Espinoza Guerrero Elizabeth de los Angeles</t>
  </si>
  <si>
    <t>Estrada Vanegas Milagros del Socorro</t>
  </si>
  <si>
    <t>Fernandez Maltez Samantha de los Angeles</t>
  </si>
  <si>
    <t>Flores Quintero Fernando</t>
  </si>
  <si>
    <t>Flores Sanchez Belen Abigail</t>
  </si>
  <si>
    <t>Francis Gutiérrez Macyerlis Celeste</t>
  </si>
  <si>
    <t>Garcia Gongora Maryeris Fernanda</t>
  </si>
  <si>
    <t>García Hansin José Ignacio</t>
  </si>
  <si>
    <t>Garcia Jarquin Elder Javier</t>
  </si>
  <si>
    <t>García Ramírez Ashlly Natalia</t>
  </si>
  <si>
    <t>Gómez Ortega Jeyling Danesca</t>
  </si>
  <si>
    <r>
      <t>Gonzalez Lopez Engel de Jesus</t>
    </r>
    <r>
      <rPr>
        <b/>
        <sz val="11"/>
        <color rgb="FFFF0000"/>
        <rFont val="Calibri"/>
        <family val="2"/>
        <scheme val="minor"/>
      </rPr>
      <t xml:space="preserve"> -</t>
    </r>
  </si>
  <si>
    <r>
      <t>Guillen Diaz Francis Rachel</t>
    </r>
    <r>
      <rPr>
        <b/>
        <sz val="11"/>
        <color rgb="FFFF0000"/>
        <rFont val="Calibri"/>
        <family val="2"/>
        <scheme val="minor"/>
      </rPr>
      <t xml:space="preserve"> -</t>
    </r>
  </si>
  <si>
    <t>Hernandez Cruz Dayana Massiel</t>
  </si>
  <si>
    <t>Hernandez Laguna Angelica María</t>
  </si>
  <si>
    <t>Irias Blandón Ilse Jahozka</t>
  </si>
  <si>
    <t>Jarquin Sharon Brithanya</t>
  </si>
  <si>
    <t>Jarquin Flores Jossnwierthz Enmanuel</t>
  </si>
  <si>
    <t>López Ramos Denis Rubén</t>
  </si>
  <si>
    <r>
      <t xml:space="preserve">López Vargas Leyding Jassarely </t>
    </r>
    <r>
      <rPr>
        <b/>
        <sz val="11"/>
        <color rgb="FFFF0000"/>
        <rFont val="Calibri"/>
        <family val="2"/>
        <scheme val="minor"/>
      </rPr>
      <t>-</t>
    </r>
  </si>
  <si>
    <r>
      <t>Loza Rizo Stayce Daniella</t>
    </r>
    <r>
      <rPr>
        <b/>
        <sz val="11"/>
        <color rgb="FFFF0000"/>
        <rFont val="Calibri"/>
        <family val="2"/>
        <scheme val="minor"/>
      </rPr>
      <t xml:space="preserve"> -</t>
    </r>
  </si>
  <si>
    <t>Martínez Gabriela Mercedes</t>
  </si>
  <si>
    <t>Rodríguez Rodríguez Velia Luzcielly</t>
  </si>
  <si>
    <t>Sequeira Martínez Danilo Josue</t>
  </si>
  <si>
    <r>
      <t xml:space="preserve">Talavera Lanzas Xaviera Ivonne </t>
    </r>
    <r>
      <rPr>
        <b/>
        <sz val="11"/>
        <color rgb="FFFF0000"/>
        <rFont val="Calibri"/>
        <family val="2"/>
        <scheme val="minor"/>
      </rPr>
      <t>-</t>
    </r>
  </si>
  <si>
    <t xml:space="preserve">UNIVERSIDAD JEAN JACQUES ROUSSEAU                    </t>
  </si>
  <si>
    <t xml:space="preserve">FACULTAD DE CIENCIAS MÉDICAS                                                                </t>
  </si>
  <si>
    <t>CONTROL DE NOTAS</t>
  </si>
  <si>
    <r>
      <rPr>
        <b/>
        <sz val="12"/>
        <color rgb="FF006100"/>
        <rFont val="Calibri"/>
        <family val="2"/>
        <scheme val="minor"/>
      </rPr>
      <t xml:space="preserve">Asignatura : </t>
    </r>
    <r>
      <rPr>
        <sz val="12"/>
        <color rgb="FF006100"/>
        <rFont val="Calibri"/>
        <family val="2"/>
        <scheme val="minor"/>
      </rPr>
      <t xml:space="preserve"> Informática Medica (INF126)</t>
    </r>
  </si>
  <si>
    <t>Modalidad : Matutino</t>
  </si>
  <si>
    <r>
      <rPr>
        <b/>
        <sz val="12"/>
        <color rgb="FF006100"/>
        <rFont val="Calibri"/>
        <family val="2"/>
        <scheme val="minor"/>
      </rPr>
      <t>Grupo :</t>
    </r>
    <r>
      <rPr>
        <sz val="12"/>
        <color rgb="FF006100"/>
        <rFont val="Calibri"/>
        <family val="2"/>
        <scheme val="minor"/>
      </rPr>
      <t xml:space="preserve"> 0032021S2</t>
    </r>
  </si>
  <si>
    <r>
      <rPr>
        <b/>
        <sz val="12"/>
        <color rgb="FF006100"/>
        <rFont val="Calibri"/>
        <family val="2"/>
        <scheme val="minor"/>
      </rPr>
      <t>Periodo:</t>
    </r>
    <r>
      <rPr>
        <sz val="12"/>
        <color rgb="FF006100"/>
        <rFont val="Calibri"/>
        <family val="2"/>
        <scheme val="minor"/>
      </rPr>
      <t xml:space="preserve"> 2021S2</t>
    </r>
  </si>
  <si>
    <r>
      <rPr>
        <b/>
        <sz val="12"/>
        <color rgb="FF006100"/>
        <rFont val="Calibri"/>
        <family val="2"/>
        <scheme val="minor"/>
      </rPr>
      <t>Carrera :</t>
    </r>
    <r>
      <rPr>
        <sz val="12"/>
        <color rgb="FF006100"/>
        <rFont val="Calibri"/>
        <family val="2"/>
        <scheme val="minor"/>
      </rPr>
      <t xml:space="preserve"> Medicina y Cirugia</t>
    </r>
  </si>
  <si>
    <r>
      <rPr>
        <b/>
        <sz val="12"/>
        <color rgb="FF006100"/>
        <rFont val="Calibri"/>
        <family val="2"/>
        <scheme val="minor"/>
      </rPr>
      <t>Año académico :</t>
    </r>
    <r>
      <rPr>
        <sz val="12"/>
        <color rgb="FF006100"/>
        <rFont val="Calibri"/>
        <family val="2"/>
        <scheme val="minor"/>
      </rPr>
      <t xml:space="preserve"> 1ro</t>
    </r>
  </si>
  <si>
    <t>NOTA III PARCIAL</t>
  </si>
  <si>
    <t>III SEMESTRE 2021</t>
  </si>
  <si>
    <t>Carnet</t>
  </si>
  <si>
    <t>CONTROL DE ASISTENCIA</t>
  </si>
  <si>
    <t>Simbolo</t>
  </si>
  <si>
    <t>Descripción</t>
  </si>
  <si>
    <t>Presente</t>
  </si>
  <si>
    <t>Ausente</t>
  </si>
  <si>
    <t>Llegada Tarde</t>
  </si>
  <si>
    <t>Justificado</t>
  </si>
  <si>
    <t>Sexo</t>
  </si>
  <si>
    <t>Asistencia I Parcial</t>
  </si>
  <si>
    <t>Asistencia II parcial</t>
  </si>
  <si>
    <t>Derecho a Examen</t>
  </si>
  <si>
    <t>Con derecho</t>
  </si>
  <si>
    <t>Sin derechos</t>
  </si>
  <si>
    <t>% de Inasistencias I Parcial</t>
  </si>
  <si>
    <t>% de Inasistencias II Parcial</t>
  </si>
  <si>
    <t>Lista de Alumnos sin derecho a Examen</t>
  </si>
  <si>
    <r>
      <rPr>
        <b/>
        <sz val="12"/>
        <color rgb="FF006100"/>
        <rFont val="Calibri"/>
        <family val="2"/>
        <scheme val="minor"/>
      </rPr>
      <t xml:space="preserve">Asignatura : </t>
    </r>
    <r>
      <rPr>
        <sz val="12"/>
        <color rgb="FF006100"/>
        <rFont val="Calibri"/>
        <family val="2"/>
        <scheme val="minor"/>
      </rPr>
      <t xml:space="preserve"> </t>
    </r>
  </si>
  <si>
    <t>Año académico :</t>
  </si>
  <si>
    <r>
      <rPr>
        <b/>
        <sz val="12"/>
        <color rgb="FF006100"/>
        <rFont val="Calibri"/>
        <family val="2"/>
        <scheme val="minor"/>
      </rPr>
      <t>Modalidad</t>
    </r>
    <r>
      <rPr>
        <sz val="12"/>
        <color rgb="FF006100"/>
        <rFont val="Calibri"/>
        <family val="2"/>
        <scheme val="minor"/>
      </rPr>
      <t xml:space="preserve"> : </t>
    </r>
  </si>
  <si>
    <t xml:space="preserve">Periodo: </t>
  </si>
  <si>
    <t>I CUATRIMESTRE 2026</t>
  </si>
  <si>
    <t>ENERO</t>
  </si>
  <si>
    <t>FEBRERO</t>
  </si>
  <si>
    <t>MARZO</t>
  </si>
  <si>
    <t>ABRIL</t>
  </si>
  <si>
    <t>MAY</t>
  </si>
  <si>
    <t>Carrera :</t>
  </si>
  <si>
    <r>
      <rPr>
        <b/>
        <sz val="12"/>
        <color rgb="FF006100"/>
        <rFont val="Calibri"/>
        <family val="2"/>
        <scheme val="minor"/>
      </rPr>
      <t>Grupo :</t>
    </r>
    <r>
      <rPr>
        <sz val="12"/>
        <color rgb="FF006100"/>
        <rFont val="Calibri"/>
        <family val="2"/>
        <scheme val="minor"/>
      </rPr>
      <t xml:space="preserve"> </t>
    </r>
  </si>
  <si>
    <r>
      <rPr>
        <b/>
        <sz val="12"/>
        <color rgb="FF006100"/>
        <rFont val="Calibri"/>
        <family val="2"/>
        <scheme val="minor"/>
      </rPr>
      <t>Docente</t>
    </r>
    <r>
      <rPr>
        <sz val="12"/>
        <color rgb="FF006100"/>
        <rFont val="Calibri"/>
        <family val="2"/>
        <scheme val="minor"/>
      </rPr>
      <t xml:space="preserve">: Lic. Wascar Enrique Sequeira Hurtado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</si>
</sst>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BE5E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FFFD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70C0"/>
      </left>
      <right/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9" fillId="0" borderId="0" applyFont="0" applyFill="0" applyBorder="0" applyAlignment="0" applyProtection="0"/>
  </cellStyleXfs>
  <cellXfs count="59">
    <xf numFmtId="0" fontId="0" fillId="0" borderId="0" xfId="0"/>
    <xf numFmtId="0" fontId="3" fillId="3" borderId="1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4" xfId="1" applyFill="1" applyBorder="1" applyAlignment="1">
      <alignment vertical="center"/>
    </xf>
    <xf numFmtId="0" fontId="3" fillId="4" borderId="8" xfId="1" applyFont="1" applyFill="1" applyBorder="1" applyAlignment="1">
      <alignment horizontal="center" vertical="center" textRotation="90"/>
    </xf>
    <xf numFmtId="0" fontId="5" fillId="0" borderId="6" xfId="1" applyFont="1" applyFill="1" applyBorder="1" applyAlignment="1">
      <alignment wrapText="1"/>
    </xf>
    <xf numFmtId="0" fontId="5" fillId="0" borderId="0" xfId="1" applyFont="1" applyFill="1" applyBorder="1" applyAlignment="1">
      <alignment wrapText="1"/>
    </xf>
    <xf numFmtId="0" fontId="1" fillId="0" borderId="0" xfId="1" applyFill="1" applyBorder="1" applyAlignment="1">
      <alignment horizontal="center"/>
    </xf>
    <xf numFmtId="0" fontId="1" fillId="0" borderId="0" xfId="1" applyFill="1" applyBorder="1"/>
    <xf numFmtId="0" fontId="6" fillId="0" borderId="0" xfId="1" applyFont="1" applyFill="1" applyBorder="1"/>
    <xf numFmtId="0" fontId="6" fillId="0" borderId="0" xfId="1" applyFont="1" applyFill="1" applyBorder="1" applyAlignment="1"/>
    <xf numFmtId="0" fontId="1" fillId="0" borderId="0" xfId="1" applyFill="1" applyBorder="1" applyAlignment="1"/>
    <xf numFmtId="0" fontId="5" fillId="5" borderId="6" xfId="1" applyFont="1" applyFill="1" applyBorder="1" applyAlignment="1">
      <alignment wrapText="1"/>
    </xf>
    <xf numFmtId="0" fontId="5" fillId="5" borderId="0" xfId="1" applyFont="1" applyFill="1" applyBorder="1" applyAlignment="1">
      <alignment wrapText="1"/>
    </xf>
    <xf numFmtId="0" fontId="1" fillId="5" borderId="7" xfId="1" applyFill="1" applyBorder="1" applyAlignment="1">
      <alignment horizontal="center"/>
    </xf>
    <xf numFmtId="0" fontId="1" fillId="5" borderId="0" xfId="1" applyFill="1" applyBorder="1" applyAlignment="1">
      <alignment horizontal="center"/>
    </xf>
    <xf numFmtId="0" fontId="6" fillId="5" borderId="0" xfId="1" applyFont="1" applyFill="1" applyBorder="1"/>
    <xf numFmtId="0" fontId="0" fillId="5" borderId="0" xfId="0" applyFill="1"/>
    <xf numFmtId="0" fontId="0" fillId="0" borderId="0" xfId="0" applyAlignment="1">
      <alignment horizontal="center"/>
    </xf>
    <xf numFmtId="0" fontId="1" fillId="3" borderId="3" xfId="1" applyFill="1" applyBorder="1" applyAlignment="1">
      <alignment horizontal="center"/>
    </xf>
    <xf numFmtId="0" fontId="6" fillId="5" borderId="0" xfId="1" applyFont="1" applyFill="1" applyBorder="1" applyAlignment="1">
      <alignment horizontal="left"/>
    </xf>
    <xf numFmtId="0" fontId="5" fillId="5" borderId="0" xfId="1" applyFont="1" applyFill="1" applyBorder="1"/>
    <xf numFmtId="0" fontId="1" fillId="3" borderId="9" xfId="1" applyFill="1" applyBorder="1" applyAlignment="1">
      <alignment horizont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vertical="center" wrapText="1"/>
    </xf>
    <xf numFmtId="9" fontId="0" fillId="5" borderId="9" xfId="2" applyFont="1" applyFill="1" applyBorder="1"/>
    <xf numFmtId="0" fontId="3" fillId="4" borderId="13" xfId="1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/>
    </xf>
    <xf numFmtId="0" fontId="2" fillId="9" borderId="9" xfId="0" applyFont="1" applyFill="1" applyBorder="1"/>
    <xf numFmtId="0" fontId="2" fillId="0" borderId="9" xfId="0" applyFont="1" applyBorder="1"/>
    <xf numFmtId="0" fontId="2" fillId="10" borderId="9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11" borderId="9" xfId="0" applyFont="1" applyFill="1" applyBorder="1" applyAlignment="1">
      <alignment horizontal="left"/>
    </xf>
    <xf numFmtId="9" fontId="0" fillId="5" borderId="9" xfId="2" applyFont="1" applyFill="1" applyBorder="1" applyAlignment="1">
      <alignment horizontal="center"/>
    </xf>
    <xf numFmtId="9" fontId="2" fillId="11" borderId="9" xfId="2" applyFont="1" applyFill="1" applyBorder="1" applyAlignment="1">
      <alignment horizontal="left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wrapText="1"/>
    </xf>
    <xf numFmtId="0" fontId="5" fillId="5" borderId="0" xfId="1" applyFont="1" applyFill="1" applyBorder="1" applyAlignment="1">
      <alignment horizontal="center" wrapText="1"/>
    </xf>
    <xf numFmtId="0" fontId="6" fillId="5" borderId="0" xfId="1" applyFont="1" applyFill="1" applyBorder="1" applyAlignment="1">
      <alignment horizontal="left"/>
    </xf>
    <xf numFmtId="0" fontId="6" fillId="5" borderId="15" xfId="1" applyFont="1" applyFill="1" applyBorder="1" applyAlignment="1">
      <alignment horizontal="left"/>
    </xf>
    <xf numFmtId="0" fontId="2" fillId="3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0" fillId="7" borderId="9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0" fontId="0" fillId="7" borderId="11" xfId="0" applyFill="1" applyBorder="1" applyAlignment="1">
      <alignment horizontal="center" wrapText="1"/>
    </xf>
    <xf numFmtId="0" fontId="2" fillId="3" borderId="13" xfId="0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wrapText="1"/>
    </xf>
    <xf numFmtId="0" fontId="5" fillId="5" borderId="6" xfId="1" applyFont="1" applyFill="1" applyBorder="1" applyAlignment="1">
      <alignment horizontal="center" wrapText="1"/>
    </xf>
    <xf numFmtId="0" fontId="5" fillId="5" borderId="15" xfId="1" applyFont="1" applyFill="1" applyBorder="1" applyAlignment="1">
      <alignment horizontal="left"/>
    </xf>
  </cellXfs>
  <cellStyles count="3">
    <cellStyle name="Bueno" xfId="1" builtinId="26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CC00"/>
      <color rgb="FF18B8B4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83343</xdr:rowOff>
    </xdr:from>
    <xdr:to>
      <xdr:col>2</xdr:col>
      <xdr:colOff>650081</xdr:colOff>
      <xdr:row>4</xdr:row>
      <xdr:rowOff>7143</xdr:rowOff>
    </xdr:to>
    <xdr:pic>
      <xdr:nvPicPr>
        <xdr:cNvPr id="2" name="Imagen 1" descr="UNIJJ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343"/>
          <a:ext cx="75247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95250</xdr:rowOff>
    </xdr:from>
    <xdr:to>
      <xdr:col>1</xdr:col>
      <xdr:colOff>257175</xdr:colOff>
      <xdr:row>4</xdr:row>
      <xdr:rowOff>19050</xdr:rowOff>
    </xdr:to>
    <xdr:pic>
      <xdr:nvPicPr>
        <xdr:cNvPr id="2" name="Imagen 1" descr="UNIJJ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0"/>
          <a:ext cx="7524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63"/>
  <sheetViews>
    <sheetView tabSelected="1" zoomScale="80" zoomScaleNormal="80" workbookViewId="0">
      <pane ySplit="10" topLeftCell="A38" activePane="bottomLeft" state="frozen"/>
      <selection pane="bottomLeft" activeCell="C56" sqref="C56"/>
    </sheetView>
  </sheetViews>
  <sheetFormatPr baseColWidth="10" defaultRowHeight="14.5" x14ac:dyDescent="0.35"/>
  <cols>
    <col min="1" max="1" width="4.26953125" style="18" customWidth="1"/>
    <col min="2" max="2" width="15.54296875" style="18" customWidth="1"/>
    <col min="3" max="3" width="14.54296875" style="18" customWidth="1"/>
    <col min="4" max="4" width="46.1796875" customWidth="1"/>
    <col min="5" max="19" width="5.7265625" customWidth="1"/>
    <col min="20" max="21" width="11.7265625" customWidth="1"/>
    <col min="22" max="23" width="12.453125" customWidth="1"/>
  </cols>
  <sheetData>
    <row r="1" spans="1:23" ht="15.75" customHeight="1" x14ac:dyDescent="0.35">
      <c r="A1" s="45" t="s">
        <v>41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15.75" customHeight="1" x14ac:dyDescent="0.35">
      <c r="A2" s="45" t="s">
        <v>42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</row>
    <row r="3" spans="1:23" ht="15.75" customHeight="1" x14ac:dyDescent="0.35">
      <c r="A3" s="45" t="s">
        <v>73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</row>
    <row r="4" spans="1:23" ht="15.75" customHeight="1" x14ac:dyDescent="0.35">
      <c r="A4" s="45" t="s">
        <v>53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</row>
    <row r="5" spans="1:23" x14ac:dyDescent="0.3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7"/>
      <c r="U5" s="17"/>
      <c r="V5" s="17"/>
      <c r="W5" s="17"/>
    </row>
    <row r="6" spans="1:23" ht="15.5" x14ac:dyDescent="0.35">
      <c r="A6" s="20" t="s">
        <v>69</v>
      </c>
      <c r="B6" s="20"/>
      <c r="C6" s="20"/>
      <c r="D6" s="20" t="s">
        <v>81</v>
      </c>
      <c r="E6" s="17"/>
      <c r="F6" s="17"/>
      <c r="G6" s="17"/>
      <c r="H6" s="16" t="s">
        <v>71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1:23" ht="15.5" x14ac:dyDescent="0.35">
      <c r="A7" s="47" t="s">
        <v>80</v>
      </c>
      <c r="B7" s="47"/>
      <c r="C7" s="20"/>
      <c r="D7" s="17"/>
      <c r="E7" s="17"/>
      <c r="F7" s="17"/>
      <c r="G7" s="17"/>
      <c r="H7" s="21" t="s">
        <v>72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spans="1:23" ht="15.5" x14ac:dyDescent="0.35">
      <c r="A8" s="58" t="s">
        <v>79</v>
      </c>
      <c r="B8" s="48"/>
      <c r="C8" s="48"/>
      <c r="D8" s="17"/>
      <c r="E8" s="17"/>
      <c r="F8" s="17"/>
      <c r="G8" s="17"/>
      <c r="H8" s="21" t="s">
        <v>70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1:23" x14ac:dyDescent="0.35">
      <c r="A9" s="42" t="s">
        <v>0</v>
      </c>
      <c r="B9" s="42" t="s">
        <v>52</v>
      </c>
      <c r="C9" s="43" t="s">
        <v>60</v>
      </c>
      <c r="D9" s="43" t="s">
        <v>1</v>
      </c>
      <c r="E9" s="40" t="s">
        <v>74</v>
      </c>
      <c r="F9" s="50" t="s">
        <v>75</v>
      </c>
      <c r="G9" s="50"/>
      <c r="H9" s="50"/>
      <c r="I9" s="55"/>
      <c r="J9" s="49" t="s">
        <v>76</v>
      </c>
      <c r="K9" s="50"/>
      <c r="L9" s="50"/>
      <c r="M9" s="50"/>
      <c r="N9" s="55"/>
      <c r="O9" s="49" t="s">
        <v>77</v>
      </c>
      <c r="P9" s="50"/>
      <c r="Q9" s="50"/>
      <c r="R9" s="50"/>
      <c r="S9" s="41" t="s">
        <v>78</v>
      </c>
      <c r="T9" s="52" t="s">
        <v>61</v>
      </c>
      <c r="U9" s="53" t="s">
        <v>63</v>
      </c>
      <c r="V9" s="52" t="s">
        <v>62</v>
      </c>
      <c r="W9" s="53" t="s">
        <v>63</v>
      </c>
    </row>
    <row r="10" spans="1:23" ht="20.25" customHeight="1" x14ac:dyDescent="0.35">
      <c r="A10" s="42"/>
      <c r="B10" s="42"/>
      <c r="C10" s="44"/>
      <c r="D10" s="44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52"/>
      <c r="U10" s="54"/>
      <c r="V10" s="52"/>
      <c r="W10" s="54"/>
    </row>
    <row r="11" spans="1:23" ht="15.5" x14ac:dyDescent="0.35">
      <c r="A11" s="22">
        <v>1</v>
      </c>
      <c r="B11" s="23"/>
      <c r="C11" s="23"/>
      <c r="D11" s="24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5">
        <f>COUNTIF(E11:N11,1)/10</f>
        <v>0</v>
      </c>
      <c r="U11" s="38" t="str">
        <f t="shared" ref="U11:U43" si="0">IF(T11&gt;=50%,"Si","No")</f>
        <v>No</v>
      </c>
      <c r="V11" s="25">
        <f t="shared" ref="V11:V46" si="1">COUNTIF(P11:S11,1)/10</f>
        <v>0</v>
      </c>
      <c r="W11" s="38" t="str">
        <f>IF(V11&lt;=50%,"No","Si")</f>
        <v>No</v>
      </c>
    </row>
    <row r="12" spans="1:23" ht="15.5" x14ac:dyDescent="0.35">
      <c r="A12" s="22">
        <v>2</v>
      </c>
      <c r="B12" s="23"/>
      <c r="C12" s="23"/>
      <c r="D12" s="24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5">
        <f>COUNTIF(E12:K12,1)/6</f>
        <v>0</v>
      </c>
      <c r="U12" s="38" t="str">
        <f t="shared" si="0"/>
        <v>No</v>
      </c>
      <c r="V12" s="25">
        <f t="shared" si="1"/>
        <v>0</v>
      </c>
      <c r="W12" s="38" t="str">
        <f>IF(V12&lt;=50%,"No","Si")</f>
        <v>No</v>
      </c>
    </row>
    <row r="13" spans="1:23" ht="19.5" customHeight="1" x14ac:dyDescent="0.35">
      <c r="A13" s="22">
        <v>3</v>
      </c>
      <c r="B13" s="23"/>
      <c r="C13" s="23"/>
      <c r="D13" s="24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5">
        <f t="shared" ref="T13:T46" si="2">COUNTIF(E13:N13,1)/10</f>
        <v>0</v>
      </c>
      <c r="U13" s="38" t="str">
        <f t="shared" si="0"/>
        <v>No</v>
      </c>
      <c r="V13" s="25">
        <f t="shared" si="1"/>
        <v>0</v>
      </c>
      <c r="W13" s="38" t="str">
        <f>IF(V13&lt;=50%,"No","Si")</f>
        <v>No</v>
      </c>
    </row>
    <row r="14" spans="1:23" ht="15.5" x14ac:dyDescent="0.35">
      <c r="A14" s="22">
        <v>4</v>
      </c>
      <c r="B14" s="23"/>
      <c r="C14" s="23"/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5">
        <f t="shared" si="2"/>
        <v>0</v>
      </c>
      <c r="U14" s="38" t="str">
        <f t="shared" si="0"/>
        <v>No</v>
      </c>
      <c r="V14" s="25">
        <f t="shared" si="1"/>
        <v>0</v>
      </c>
      <c r="W14" s="38" t="str">
        <f>IF(V14&lt;=50%,"No","Si")</f>
        <v>No</v>
      </c>
    </row>
    <row r="15" spans="1:23" ht="15.5" x14ac:dyDescent="0.35">
      <c r="A15" s="22">
        <v>5</v>
      </c>
      <c r="B15" s="23"/>
      <c r="C15" s="23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5">
        <f t="shared" si="2"/>
        <v>0</v>
      </c>
      <c r="U15" s="38" t="str">
        <f t="shared" si="0"/>
        <v>No</v>
      </c>
      <c r="V15" s="25">
        <f t="shared" si="1"/>
        <v>0</v>
      </c>
      <c r="W15" s="38" t="str">
        <f>IF(V15&lt;=80%,"No","Si")</f>
        <v>No</v>
      </c>
    </row>
    <row r="16" spans="1:23" ht="15.5" x14ac:dyDescent="0.35">
      <c r="A16" s="22">
        <v>6</v>
      </c>
      <c r="B16" s="23"/>
      <c r="C16" s="23"/>
      <c r="D16" s="24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5">
        <f t="shared" si="2"/>
        <v>0</v>
      </c>
      <c r="U16" s="38" t="str">
        <f t="shared" si="0"/>
        <v>No</v>
      </c>
      <c r="V16" s="25">
        <f t="shared" si="1"/>
        <v>0</v>
      </c>
      <c r="W16" s="38" t="str">
        <f t="shared" ref="W16:W43" si="3">IF(V16&lt;=50%,"No","Si")</f>
        <v>No</v>
      </c>
    </row>
    <row r="17" spans="1:23" ht="15.5" x14ac:dyDescent="0.35">
      <c r="A17" s="22">
        <v>7</v>
      </c>
      <c r="B17" s="23"/>
      <c r="C17" s="23"/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5">
        <f t="shared" si="2"/>
        <v>0</v>
      </c>
      <c r="U17" s="38" t="str">
        <f t="shared" si="0"/>
        <v>No</v>
      </c>
      <c r="V17" s="25">
        <f t="shared" si="1"/>
        <v>0</v>
      </c>
      <c r="W17" s="38" t="str">
        <f t="shared" si="3"/>
        <v>No</v>
      </c>
    </row>
    <row r="18" spans="1:23" ht="15.5" x14ac:dyDescent="0.35">
      <c r="A18" s="22">
        <v>8</v>
      </c>
      <c r="B18" s="23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5">
        <f t="shared" si="2"/>
        <v>0</v>
      </c>
      <c r="U18" s="38" t="str">
        <f t="shared" si="0"/>
        <v>No</v>
      </c>
      <c r="V18" s="25">
        <f t="shared" si="1"/>
        <v>0</v>
      </c>
      <c r="W18" s="38" t="str">
        <f t="shared" si="3"/>
        <v>No</v>
      </c>
    </row>
    <row r="19" spans="1:23" ht="15.5" x14ac:dyDescent="0.35">
      <c r="A19" s="22">
        <v>9</v>
      </c>
      <c r="B19" s="23"/>
      <c r="C19" s="23"/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5">
        <f t="shared" si="2"/>
        <v>0</v>
      </c>
      <c r="U19" s="38" t="str">
        <f t="shared" si="0"/>
        <v>No</v>
      </c>
      <c r="V19" s="25">
        <f t="shared" si="1"/>
        <v>0</v>
      </c>
      <c r="W19" s="38" t="str">
        <f t="shared" si="3"/>
        <v>No</v>
      </c>
    </row>
    <row r="20" spans="1:23" ht="15.5" x14ac:dyDescent="0.35">
      <c r="A20" s="22">
        <v>10</v>
      </c>
      <c r="B20" s="23"/>
      <c r="C20" s="23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5">
        <f t="shared" si="2"/>
        <v>0</v>
      </c>
      <c r="U20" s="38" t="str">
        <f t="shared" si="0"/>
        <v>No</v>
      </c>
      <c r="V20" s="25">
        <f t="shared" si="1"/>
        <v>0</v>
      </c>
      <c r="W20" s="38" t="str">
        <f t="shared" si="3"/>
        <v>No</v>
      </c>
    </row>
    <row r="21" spans="1:23" ht="18" customHeight="1" x14ac:dyDescent="0.35">
      <c r="A21" s="22">
        <v>11</v>
      </c>
      <c r="B21" s="23"/>
      <c r="C21" s="23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5">
        <f t="shared" si="2"/>
        <v>0</v>
      </c>
      <c r="U21" s="38" t="str">
        <f t="shared" si="0"/>
        <v>No</v>
      </c>
      <c r="V21" s="25">
        <f t="shared" si="1"/>
        <v>0</v>
      </c>
      <c r="W21" s="38" t="str">
        <f t="shared" si="3"/>
        <v>No</v>
      </c>
    </row>
    <row r="22" spans="1:23" ht="15.5" x14ac:dyDescent="0.35">
      <c r="A22" s="22">
        <v>12</v>
      </c>
      <c r="B22" s="23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5">
        <f t="shared" si="2"/>
        <v>0</v>
      </c>
      <c r="U22" s="38" t="str">
        <f t="shared" si="0"/>
        <v>No</v>
      </c>
      <c r="V22" s="25">
        <f t="shared" si="1"/>
        <v>0</v>
      </c>
      <c r="W22" s="38" t="str">
        <f t="shared" si="3"/>
        <v>No</v>
      </c>
    </row>
    <row r="23" spans="1:23" ht="15.5" x14ac:dyDescent="0.35">
      <c r="A23" s="22">
        <v>13</v>
      </c>
      <c r="B23" s="23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5">
        <f t="shared" si="2"/>
        <v>0</v>
      </c>
      <c r="U23" s="38" t="str">
        <f t="shared" si="0"/>
        <v>No</v>
      </c>
      <c r="V23" s="25">
        <f t="shared" si="1"/>
        <v>0</v>
      </c>
      <c r="W23" s="38" t="str">
        <f t="shared" si="3"/>
        <v>No</v>
      </c>
    </row>
    <row r="24" spans="1:23" ht="15.5" x14ac:dyDescent="0.35">
      <c r="A24" s="22">
        <v>14</v>
      </c>
      <c r="B24" s="23"/>
      <c r="C24" s="23"/>
      <c r="D24" s="2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5">
        <f t="shared" si="2"/>
        <v>0</v>
      </c>
      <c r="U24" s="38" t="str">
        <f t="shared" si="0"/>
        <v>No</v>
      </c>
      <c r="V24" s="25">
        <f t="shared" si="1"/>
        <v>0</v>
      </c>
      <c r="W24" s="38" t="str">
        <f t="shared" si="3"/>
        <v>No</v>
      </c>
    </row>
    <row r="25" spans="1:23" ht="15.5" x14ac:dyDescent="0.35">
      <c r="A25" s="22">
        <v>15</v>
      </c>
      <c r="B25" s="23"/>
      <c r="C25" s="23"/>
      <c r="D25" s="2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5">
        <f t="shared" si="2"/>
        <v>0</v>
      </c>
      <c r="U25" s="38" t="str">
        <f t="shared" si="0"/>
        <v>No</v>
      </c>
      <c r="V25" s="25">
        <f t="shared" si="1"/>
        <v>0</v>
      </c>
      <c r="W25" s="38" t="str">
        <f t="shared" si="3"/>
        <v>No</v>
      </c>
    </row>
    <row r="26" spans="1:23" ht="15.5" x14ac:dyDescent="0.35">
      <c r="A26" s="22">
        <v>16</v>
      </c>
      <c r="B26" s="23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5">
        <f t="shared" si="2"/>
        <v>0</v>
      </c>
      <c r="U26" s="38" t="str">
        <f t="shared" si="0"/>
        <v>No</v>
      </c>
      <c r="V26" s="25">
        <f t="shared" si="1"/>
        <v>0</v>
      </c>
      <c r="W26" s="38" t="str">
        <f t="shared" si="3"/>
        <v>No</v>
      </c>
    </row>
    <row r="27" spans="1:23" ht="15.5" x14ac:dyDescent="0.35">
      <c r="A27" s="22">
        <v>17</v>
      </c>
      <c r="B27" s="23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5">
        <f t="shared" si="2"/>
        <v>0</v>
      </c>
      <c r="U27" s="38" t="str">
        <f t="shared" si="0"/>
        <v>No</v>
      </c>
      <c r="V27" s="25">
        <f t="shared" si="1"/>
        <v>0</v>
      </c>
      <c r="W27" s="38" t="str">
        <f t="shared" si="3"/>
        <v>No</v>
      </c>
    </row>
    <row r="28" spans="1:23" ht="15.5" x14ac:dyDescent="0.35">
      <c r="A28" s="22">
        <v>18</v>
      </c>
      <c r="B28" s="23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5">
        <f t="shared" si="2"/>
        <v>0</v>
      </c>
      <c r="U28" s="38" t="str">
        <f t="shared" si="0"/>
        <v>No</v>
      </c>
      <c r="V28" s="25">
        <f t="shared" si="1"/>
        <v>0</v>
      </c>
      <c r="W28" s="38" t="str">
        <f t="shared" si="3"/>
        <v>No</v>
      </c>
    </row>
    <row r="29" spans="1:23" ht="15.5" x14ac:dyDescent="0.35">
      <c r="A29" s="22">
        <v>19</v>
      </c>
      <c r="B29" s="23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5">
        <f t="shared" si="2"/>
        <v>0</v>
      </c>
      <c r="U29" s="38" t="str">
        <f t="shared" si="0"/>
        <v>No</v>
      </c>
      <c r="V29" s="25">
        <f t="shared" si="1"/>
        <v>0</v>
      </c>
      <c r="W29" s="38" t="str">
        <f t="shared" si="3"/>
        <v>No</v>
      </c>
    </row>
    <row r="30" spans="1:23" ht="15.5" x14ac:dyDescent="0.35">
      <c r="A30" s="22">
        <v>20</v>
      </c>
      <c r="B30" s="23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5">
        <f t="shared" si="2"/>
        <v>0</v>
      </c>
      <c r="U30" s="38" t="str">
        <f t="shared" si="0"/>
        <v>No</v>
      </c>
      <c r="V30" s="25">
        <f t="shared" si="1"/>
        <v>0</v>
      </c>
      <c r="W30" s="38" t="str">
        <f t="shared" si="3"/>
        <v>No</v>
      </c>
    </row>
    <row r="31" spans="1:23" ht="15.5" x14ac:dyDescent="0.35">
      <c r="A31" s="22">
        <v>21</v>
      </c>
      <c r="B31" s="23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5">
        <f t="shared" si="2"/>
        <v>0</v>
      </c>
      <c r="U31" s="38" t="str">
        <f t="shared" si="0"/>
        <v>No</v>
      </c>
      <c r="V31" s="25">
        <f t="shared" si="1"/>
        <v>0</v>
      </c>
      <c r="W31" s="38" t="str">
        <f t="shared" si="3"/>
        <v>No</v>
      </c>
    </row>
    <row r="32" spans="1:23" ht="15.5" x14ac:dyDescent="0.35">
      <c r="A32" s="22">
        <v>22</v>
      </c>
      <c r="B32" s="23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5">
        <f t="shared" si="2"/>
        <v>0</v>
      </c>
      <c r="U32" s="38" t="str">
        <f t="shared" si="0"/>
        <v>No</v>
      </c>
      <c r="V32" s="25">
        <f t="shared" si="1"/>
        <v>0</v>
      </c>
      <c r="W32" s="38" t="str">
        <f t="shared" si="3"/>
        <v>No</v>
      </c>
    </row>
    <row r="33" spans="1:23" ht="15.5" x14ac:dyDescent="0.35">
      <c r="A33" s="22">
        <v>23</v>
      </c>
      <c r="B33" s="23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5">
        <f t="shared" si="2"/>
        <v>0</v>
      </c>
      <c r="U33" s="38" t="str">
        <f t="shared" si="0"/>
        <v>No</v>
      </c>
      <c r="V33" s="25">
        <f t="shared" si="1"/>
        <v>0</v>
      </c>
      <c r="W33" s="38" t="str">
        <f t="shared" si="3"/>
        <v>No</v>
      </c>
    </row>
    <row r="34" spans="1:23" ht="15.5" x14ac:dyDescent="0.35">
      <c r="A34" s="22">
        <v>24</v>
      </c>
      <c r="B34" s="23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5">
        <f t="shared" si="2"/>
        <v>0</v>
      </c>
      <c r="U34" s="38" t="str">
        <f t="shared" si="0"/>
        <v>No</v>
      </c>
      <c r="V34" s="25">
        <f t="shared" si="1"/>
        <v>0</v>
      </c>
      <c r="W34" s="38" t="str">
        <f t="shared" si="3"/>
        <v>No</v>
      </c>
    </row>
    <row r="35" spans="1:23" ht="15.5" x14ac:dyDescent="0.35">
      <c r="A35" s="22">
        <v>25</v>
      </c>
      <c r="B35" s="23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5">
        <f t="shared" si="2"/>
        <v>0</v>
      </c>
      <c r="U35" s="38" t="str">
        <f t="shared" si="0"/>
        <v>No</v>
      </c>
      <c r="V35" s="25">
        <f t="shared" si="1"/>
        <v>0</v>
      </c>
      <c r="W35" s="38" t="str">
        <f t="shared" si="3"/>
        <v>No</v>
      </c>
    </row>
    <row r="36" spans="1:23" ht="15.5" x14ac:dyDescent="0.35">
      <c r="A36" s="22">
        <v>26</v>
      </c>
      <c r="B36" s="23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5">
        <f t="shared" si="2"/>
        <v>0</v>
      </c>
      <c r="U36" s="38" t="str">
        <f t="shared" si="0"/>
        <v>No</v>
      </c>
      <c r="V36" s="25">
        <f t="shared" si="1"/>
        <v>0</v>
      </c>
      <c r="W36" s="38" t="str">
        <f t="shared" si="3"/>
        <v>No</v>
      </c>
    </row>
    <row r="37" spans="1:23" ht="15.5" x14ac:dyDescent="0.35">
      <c r="A37" s="22">
        <v>27</v>
      </c>
      <c r="B37" s="23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5">
        <f t="shared" si="2"/>
        <v>0</v>
      </c>
      <c r="U37" s="38" t="str">
        <f t="shared" si="0"/>
        <v>No</v>
      </c>
      <c r="V37" s="25">
        <f t="shared" si="1"/>
        <v>0</v>
      </c>
      <c r="W37" s="38" t="str">
        <f t="shared" si="3"/>
        <v>No</v>
      </c>
    </row>
    <row r="38" spans="1:23" ht="15.5" x14ac:dyDescent="0.35">
      <c r="A38" s="22">
        <v>28</v>
      </c>
      <c r="B38" s="23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5">
        <f t="shared" si="2"/>
        <v>0</v>
      </c>
      <c r="U38" s="38" t="str">
        <f t="shared" si="0"/>
        <v>No</v>
      </c>
      <c r="V38" s="25">
        <f t="shared" si="1"/>
        <v>0</v>
      </c>
      <c r="W38" s="38" t="str">
        <f t="shared" si="3"/>
        <v>No</v>
      </c>
    </row>
    <row r="39" spans="1:23" ht="15.5" x14ac:dyDescent="0.35">
      <c r="A39" s="22">
        <v>29</v>
      </c>
      <c r="B39" s="23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5">
        <f t="shared" si="2"/>
        <v>0</v>
      </c>
      <c r="U39" s="38" t="str">
        <f t="shared" si="0"/>
        <v>No</v>
      </c>
      <c r="V39" s="25">
        <f t="shared" si="1"/>
        <v>0</v>
      </c>
      <c r="W39" s="38" t="str">
        <f t="shared" si="3"/>
        <v>No</v>
      </c>
    </row>
    <row r="40" spans="1:23" ht="15.5" x14ac:dyDescent="0.35">
      <c r="A40" s="22">
        <v>30</v>
      </c>
      <c r="B40" s="23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5">
        <f t="shared" si="2"/>
        <v>0</v>
      </c>
      <c r="U40" s="38" t="str">
        <f t="shared" si="0"/>
        <v>No</v>
      </c>
      <c r="V40" s="25">
        <f t="shared" si="1"/>
        <v>0</v>
      </c>
      <c r="W40" s="38" t="str">
        <f t="shared" si="3"/>
        <v>No</v>
      </c>
    </row>
    <row r="41" spans="1:23" ht="15.5" x14ac:dyDescent="0.35">
      <c r="A41" s="22">
        <v>31</v>
      </c>
      <c r="B41" s="23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5">
        <f t="shared" si="2"/>
        <v>0</v>
      </c>
      <c r="U41" s="38" t="str">
        <f t="shared" si="0"/>
        <v>No</v>
      </c>
      <c r="V41" s="25">
        <f t="shared" si="1"/>
        <v>0</v>
      </c>
      <c r="W41" s="38" t="str">
        <f t="shared" si="3"/>
        <v>No</v>
      </c>
    </row>
    <row r="42" spans="1:23" ht="15.5" x14ac:dyDescent="0.35">
      <c r="A42" s="22">
        <v>32</v>
      </c>
      <c r="B42" s="23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5">
        <f t="shared" si="2"/>
        <v>0</v>
      </c>
      <c r="U42" s="38" t="str">
        <f t="shared" si="0"/>
        <v>No</v>
      </c>
      <c r="V42" s="25">
        <f t="shared" si="1"/>
        <v>0</v>
      </c>
      <c r="W42" s="38" t="str">
        <f t="shared" si="3"/>
        <v>No</v>
      </c>
    </row>
    <row r="43" spans="1:23" ht="15.5" x14ac:dyDescent="0.35">
      <c r="A43" s="22">
        <v>33</v>
      </c>
      <c r="B43" s="23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5">
        <f t="shared" si="2"/>
        <v>0</v>
      </c>
      <c r="U43" s="38" t="str">
        <f t="shared" si="0"/>
        <v>No</v>
      </c>
      <c r="V43" s="25">
        <f t="shared" si="1"/>
        <v>0</v>
      </c>
      <c r="W43" s="38" t="str">
        <f t="shared" si="3"/>
        <v>No</v>
      </c>
    </row>
    <row r="44" spans="1:23" ht="15.5" x14ac:dyDescent="0.35">
      <c r="A44" s="22">
        <v>34</v>
      </c>
      <c r="B44" s="23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5">
        <f t="shared" si="2"/>
        <v>0</v>
      </c>
      <c r="U44" s="38" t="str">
        <f t="shared" ref="U44:U46" si="4">IF(T44&gt;=50%,"Si","No")</f>
        <v>No</v>
      </c>
      <c r="V44" s="25">
        <f t="shared" si="1"/>
        <v>0</v>
      </c>
      <c r="W44" s="38" t="str">
        <f t="shared" ref="W44:W46" si="5">IF(V44&lt;=50%,"No","Si")</f>
        <v>No</v>
      </c>
    </row>
    <row r="45" spans="1:23" ht="15.5" x14ac:dyDescent="0.35">
      <c r="A45" s="22">
        <v>35</v>
      </c>
      <c r="B45" s="23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5">
        <f t="shared" si="2"/>
        <v>0</v>
      </c>
      <c r="U45" s="38" t="str">
        <f t="shared" si="4"/>
        <v>No</v>
      </c>
      <c r="V45" s="25">
        <f t="shared" si="1"/>
        <v>0</v>
      </c>
      <c r="W45" s="38" t="str">
        <f t="shared" si="5"/>
        <v>No</v>
      </c>
    </row>
    <row r="46" spans="1:23" ht="15.5" x14ac:dyDescent="0.35">
      <c r="A46" s="22">
        <v>36</v>
      </c>
      <c r="B46" s="23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5">
        <f t="shared" si="2"/>
        <v>0</v>
      </c>
      <c r="U46" s="38" t="str">
        <f t="shared" si="4"/>
        <v>No</v>
      </c>
      <c r="V46" s="25">
        <f t="shared" si="1"/>
        <v>0</v>
      </c>
      <c r="W46" s="38" t="str">
        <f t="shared" si="5"/>
        <v>No</v>
      </c>
    </row>
    <row r="48" spans="1:23" x14ac:dyDescent="0.35">
      <c r="B48" s="27" t="s">
        <v>54</v>
      </c>
      <c r="C48" s="28" t="s">
        <v>55</v>
      </c>
    </row>
    <row r="49" spans="2:4" x14ac:dyDescent="0.35">
      <c r="B49" s="30">
        <v>1</v>
      </c>
      <c r="C49" s="29" t="s">
        <v>56</v>
      </c>
    </row>
    <row r="50" spans="2:4" x14ac:dyDescent="0.35">
      <c r="B50" s="31">
        <v>0</v>
      </c>
      <c r="C50" s="29" t="s">
        <v>57</v>
      </c>
    </row>
    <row r="51" spans="2:4" x14ac:dyDescent="0.35">
      <c r="B51" s="32">
        <v>3</v>
      </c>
      <c r="C51" s="29" t="s">
        <v>58</v>
      </c>
    </row>
    <row r="52" spans="2:4" x14ac:dyDescent="0.35">
      <c r="B52" s="33">
        <v>4</v>
      </c>
      <c r="C52" s="29" t="s">
        <v>59</v>
      </c>
    </row>
    <row r="54" spans="2:4" x14ac:dyDescent="0.35">
      <c r="B54" s="51" t="s">
        <v>66</v>
      </c>
      <c r="C54" s="51"/>
      <c r="D54" s="36"/>
    </row>
    <row r="55" spans="2:4" x14ac:dyDescent="0.35">
      <c r="B55" s="39" t="s">
        <v>64</v>
      </c>
      <c r="C55" s="34">
        <f>COUNTIF($U$11:$U$46,"Si")</f>
        <v>0</v>
      </c>
    </row>
    <row r="56" spans="2:4" x14ac:dyDescent="0.35">
      <c r="B56" s="37" t="s">
        <v>65</v>
      </c>
      <c r="C56" s="34">
        <f>COUNTIF(U12:U47,"No")</f>
        <v>35</v>
      </c>
    </row>
    <row r="58" spans="2:4" x14ac:dyDescent="0.35">
      <c r="B58" s="51" t="s">
        <v>67</v>
      </c>
      <c r="C58" s="51"/>
    </row>
    <row r="59" spans="2:4" x14ac:dyDescent="0.35">
      <c r="B59" s="39" t="s">
        <v>64</v>
      </c>
      <c r="C59" s="34">
        <f>COUNTIF(W11:W46,"Si")</f>
        <v>0</v>
      </c>
    </row>
    <row r="60" spans="2:4" x14ac:dyDescent="0.35">
      <c r="B60" s="37" t="s">
        <v>65</v>
      </c>
      <c r="C60" s="34">
        <f>COUNTIF(W12:W47,"No")</f>
        <v>35</v>
      </c>
    </row>
    <row r="63" spans="2:4" x14ac:dyDescent="0.35">
      <c r="B63" s="35" t="s">
        <v>68</v>
      </c>
    </row>
  </sheetData>
  <sortState xmlns:xlrd2="http://schemas.microsoft.com/office/spreadsheetml/2017/richdata2" ref="A11:W43">
    <sortCondition ref="D11:D43"/>
    <sortCondition ref="B11:B43"/>
  </sortState>
  <mergeCells count="19">
    <mergeCell ref="B54:C54"/>
    <mergeCell ref="B58:C58"/>
    <mergeCell ref="V9:V10"/>
    <mergeCell ref="U9:U10"/>
    <mergeCell ref="W9:W10"/>
    <mergeCell ref="T9:T10"/>
    <mergeCell ref="F9:I9"/>
    <mergeCell ref="J9:N9"/>
    <mergeCell ref="A9:A10"/>
    <mergeCell ref="B9:B10"/>
    <mergeCell ref="D9:D10"/>
    <mergeCell ref="C9:C10"/>
    <mergeCell ref="A1:W1"/>
    <mergeCell ref="A2:W2"/>
    <mergeCell ref="A3:W3"/>
    <mergeCell ref="A4:W4"/>
    <mergeCell ref="A7:B7"/>
    <mergeCell ref="A8:C8"/>
    <mergeCell ref="O9:R9"/>
  </mergeCells>
  <phoneticPr fontId="8" type="noConversion"/>
  <conditionalFormatting sqref="H25:K44 E25:G46 E11:K24 H46:K46">
    <cfRule type="colorScale" priority="3">
      <colorScale>
        <cfvo type="num" val="0"/>
        <cfvo type="num" val="1"/>
        <cfvo type="num" val="3"/>
        <color rgb="FFF8696B"/>
        <color rgb="FF00B050"/>
        <color theme="7"/>
      </colorScale>
    </cfRule>
  </conditionalFormatting>
  <conditionalFormatting sqref="H45:M45 L15:M44 L46:S46">
    <cfRule type="colorScale" priority="4">
      <colorScale>
        <cfvo type="num" val="0"/>
        <cfvo type="num" val="1"/>
        <cfvo type="num" val="4"/>
        <color rgb="FFFF0000"/>
        <color rgb="FF00B050"/>
        <color theme="7"/>
      </colorScale>
    </cfRule>
  </conditionalFormatting>
  <conditionalFormatting sqref="L11:N11 L12:M14 N12:N45 P11:S45">
    <cfRule type="colorScale" priority="12">
      <colorScale>
        <cfvo type="num" val="0"/>
        <cfvo type="num" val="1"/>
        <cfvo type="num" val="4"/>
        <color rgb="FFFF0000"/>
        <color rgb="FF00B050"/>
        <color theme="7"/>
      </colorScale>
    </cfRule>
  </conditionalFormatting>
  <conditionalFormatting sqref="O11:O14">
    <cfRule type="colorScale" priority="2">
      <colorScale>
        <cfvo type="num" val="0"/>
        <cfvo type="num" val="1"/>
        <cfvo type="num" val="4"/>
        <color rgb="FFFF0000"/>
        <color rgb="FF00B050"/>
        <color theme="7"/>
      </colorScale>
    </cfRule>
  </conditionalFormatting>
  <conditionalFormatting sqref="O15:O45">
    <cfRule type="colorScale" priority="1">
      <colorScale>
        <cfvo type="num" val="0"/>
        <cfvo type="num" val="1"/>
        <cfvo type="num" val="4"/>
        <color rgb="FFFF0000"/>
        <color rgb="FF00B050"/>
        <color theme="7"/>
      </colorScale>
    </cfRule>
  </conditionalFormatting>
  <conditionalFormatting sqref="T11:W4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{8CDDC924-5E8C-4B9C-948E-319E754D5896}</x14:id>
        </ext>
      </extLst>
    </cfRule>
    <cfRule type="dataBar" priority="81">
      <dataBar>
        <cfvo type="num" val="0"/>
        <cfvo type="num" val="10"/>
        <color rgb="FF638EC6"/>
      </dataBar>
      <extLst>
        <ext xmlns:x14="http://schemas.microsoft.com/office/spreadsheetml/2009/9/main" uri="{B025F937-C7B1-47D3-B67F-A62EFF666E3E}">
          <x14:id>{56568E8D-1736-4719-828E-E919F6D31625}</x14:id>
        </ext>
      </extLst>
    </cfRule>
    <cfRule type="iconSet" priority="82">
      <iconSet iconSet="4Rating">
        <cfvo type="percent" val="0"/>
        <cfvo type="percent" val="25"/>
        <cfvo type="percent" val="50"/>
        <cfvo type="percent" val="75"/>
      </iconSet>
    </cfRule>
  </conditionalFormatting>
  <pageMargins left="0.25" right="0.25" top="0.75" bottom="0.75" header="0.3" footer="0.3"/>
  <pageSetup scale="3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DDC924-5E8C-4B9C-948E-319E754D58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6568E8D-1736-4719-828E-E919F6D31625}">
            <x14:dataBar minLength="0" maxLength="100" border="1" negativeBarBorderColorSameAsPositive="0">
              <x14:cfvo type="num">
                <xm:f>0</xm:f>
              </x14:cfvo>
              <x14:cfvo type="num">
                <xm:f>10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T11:W46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0"/>
  <sheetViews>
    <sheetView workbookViewId="0">
      <selection activeCell="H7" sqref="H7"/>
    </sheetView>
  </sheetViews>
  <sheetFormatPr baseColWidth="10" defaultRowHeight="14.5" x14ac:dyDescent="0.35"/>
  <cols>
    <col min="1" max="1" width="7.81640625" style="18" customWidth="1"/>
    <col min="2" max="2" width="47.453125" customWidth="1"/>
    <col min="3" max="3" width="9.26953125" customWidth="1"/>
  </cols>
  <sheetData>
    <row r="1" spans="1:19" ht="15.75" customHeight="1" x14ac:dyDescent="0.35">
      <c r="A1" s="56" t="s">
        <v>41</v>
      </c>
      <c r="B1" s="57"/>
      <c r="C1" s="57"/>
      <c r="D1" s="1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15.75" customHeight="1" x14ac:dyDescent="0.35">
      <c r="A2" s="45" t="s">
        <v>42</v>
      </c>
      <c r="B2" s="46"/>
      <c r="C2" s="46"/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15.75" customHeight="1" x14ac:dyDescent="0.35">
      <c r="A3" s="45" t="s">
        <v>51</v>
      </c>
      <c r="B3" s="46"/>
      <c r="C3" s="46"/>
      <c r="D3" s="1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.75" customHeight="1" x14ac:dyDescent="0.35">
      <c r="A4" s="45" t="s">
        <v>43</v>
      </c>
      <c r="B4" s="46"/>
      <c r="C4" s="46"/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35">
      <c r="A5" s="14"/>
      <c r="B5" s="15"/>
      <c r="C5" s="15"/>
      <c r="D5" s="15"/>
      <c r="E5" s="7"/>
      <c r="F5" s="7"/>
      <c r="G5" s="7"/>
      <c r="H5" s="7"/>
      <c r="I5" s="7"/>
      <c r="J5" s="7"/>
      <c r="K5" s="7"/>
      <c r="L5" s="7"/>
      <c r="M5" s="8"/>
      <c r="N5" s="7"/>
      <c r="O5" s="7"/>
      <c r="P5" s="7"/>
      <c r="Q5" s="7"/>
      <c r="R5" s="7"/>
      <c r="S5" s="7"/>
    </row>
    <row r="6" spans="1:19" ht="15.5" x14ac:dyDescent="0.35">
      <c r="A6" s="20" t="s">
        <v>44</v>
      </c>
      <c r="B6" s="17"/>
      <c r="C6" s="16" t="s">
        <v>45</v>
      </c>
      <c r="D6" s="16"/>
      <c r="E6" s="9"/>
      <c r="F6" s="9"/>
      <c r="G6" s="9"/>
      <c r="H6" s="9"/>
      <c r="I6" s="9"/>
      <c r="J6" s="9"/>
      <c r="K6" s="9"/>
      <c r="L6" s="9"/>
      <c r="N6" s="9"/>
      <c r="O6" s="9"/>
      <c r="P6" s="9"/>
      <c r="Q6" s="9"/>
      <c r="R6" s="8"/>
      <c r="S6" s="8"/>
    </row>
    <row r="7" spans="1:19" ht="15.5" x14ac:dyDescent="0.35">
      <c r="A7" s="20" t="s">
        <v>46</v>
      </c>
      <c r="B7" s="17"/>
      <c r="C7" s="16" t="s">
        <v>47</v>
      </c>
      <c r="D7" s="16"/>
      <c r="E7" s="9"/>
      <c r="F7" s="9"/>
      <c r="G7" s="9"/>
      <c r="H7" s="9"/>
      <c r="I7" s="9"/>
      <c r="J7" s="9"/>
      <c r="K7" s="9"/>
      <c r="L7" s="9"/>
      <c r="N7" s="10"/>
      <c r="O7" s="10"/>
      <c r="P7" s="10"/>
      <c r="Q7" s="10"/>
      <c r="R7" s="11"/>
      <c r="S7" s="11"/>
    </row>
    <row r="8" spans="1:19" ht="15.5" x14ac:dyDescent="0.35">
      <c r="A8" s="20" t="s">
        <v>48</v>
      </c>
      <c r="B8" s="17"/>
      <c r="C8" s="16" t="s">
        <v>49</v>
      </c>
      <c r="D8" s="16"/>
      <c r="E8" s="9"/>
      <c r="F8" s="9"/>
      <c r="G8" s="9"/>
      <c r="H8" s="9"/>
      <c r="I8" s="9"/>
      <c r="J8" s="9"/>
      <c r="K8" s="9"/>
      <c r="L8" s="9"/>
      <c r="N8" s="9"/>
      <c r="O8" s="9"/>
      <c r="P8" s="9"/>
      <c r="Q8" s="9"/>
      <c r="R8" s="8"/>
      <c r="S8" s="8"/>
    </row>
    <row r="10" spans="1:19" ht="15" thickBot="1" x14ac:dyDescent="0.4"/>
    <row r="11" spans="1:19" ht="96" customHeight="1" thickBot="1" x14ac:dyDescent="0.4">
      <c r="A11" s="1" t="s">
        <v>0</v>
      </c>
      <c r="B11" s="2" t="s">
        <v>1</v>
      </c>
      <c r="C11" s="4" t="s">
        <v>50</v>
      </c>
    </row>
    <row r="12" spans="1:19" x14ac:dyDescent="0.35">
      <c r="A12" s="19">
        <v>1</v>
      </c>
      <c r="B12" s="3" t="s">
        <v>2</v>
      </c>
      <c r="C12" s="3"/>
    </row>
    <row r="13" spans="1:19" x14ac:dyDescent="0.35">
      <c r="A13" s="19">
        <v>2</v>
      </c>
      <c r="B13" s="3" t="s">
        <v>3</v>
      </c>
    </row>
    <row r="14" spans="1:19" x14ac:dyDescent="0.35">
      <c r="A14" s="19">
        <v>3</v>
      </c>
      <c r="B14" s="3" t="s">
        <v>4</v>
      </c>
    </row>
    <row r="15" spans="1:19" x14ac:dyDescent="0.35">
      <c r="A15" s="19">
        <v>4</v>
      </c>
      <c r="B15" s="3" t="s">
        <v>5</v>
      </c>
    </row>
    <row r="16" spans="1:19" x14ac:dyDescent="0.35">
      <c r="A16" s="19">
        <v>5</v>
      </c>
      <c r="B16" s="3" t="s">
        <v>6</v>
      </c>
    </row>
    <row r="17" spans="1:2" x14ac:dyDescent="0.35">
      <c r="A17" s="19">
        <v>6</v>
      </c>
      <c r="B17" s="3" t="s">
        <v>7</v>
      </c>
    </row>
    <row r="18" spans="1:2" x14ac:dyDescent="0.35">
      <c r="A18" s="19">
        <v>7</v>
      </c>
      <c r="B18" s="3" t="s">
        <v>8</v>
      </c>
    </row>
    <row r="19" spans="1:2" x14ac:dyDescent="0.35">
      <c r="A19" s="19">
        <v>8</v>
      </c>
      <c r="B19" s="3" t="s">
        <v>9</v>
      </c>
    </row>
    <row r="20" spans="1:2" x14ac:dyDescent="0.35">
      <c r="A20" s="19">
        <v>9</v>
      </c>
      <c r="B20" s="3" t="s">
        <v>10</v>
      </c>
    </row>
    <row r="21" spans="1:2" x14ac:dyDescent="0.35">
      <c r="A21" s="19">
        <v>10</v>
      </c>
      <c r="B21" s="3" t="s">
        <v>11</v>
      </c>
    </row>
    <row r="22" spans="1:2" x14ac:dyDescent="0.35">
      <c r="A22" s="19">
        <v>11</v>
      </c>
      <c r="B22" s="3" t="s">
        <v>12</v>
      </c>
    </row>
    <row r="23" spans="1:2" x14ac:dyDescent="0.35">
      <c r="A23" s="19">
        <v>12</v>
      </c>
      <c r="B23" s="3" t="s">
        <v>13</v>
      </c>
    </row>
    <row r="24" spans="1:2" x14ac:dyDescent="0.35">
      <c r="A24" s="19">
        <v>13</v>
      </c>
      <c r="B24" s="3" t="s">
        <v>14</v>
      </c>
    </row>
    <row r="25" spans="1:2" x14ac:dyDescent="0.35">
      <c r="A25" s="19">
        <v>14</v>
      </c>
      <c r="B25" s="3" t="s">
        <v>15</v>
      </c>
    </row>
    <row r="26" spans="1:2" x14ac:dyDescent="0.35">
      <c r="A26" s="19">
        <v>15</v>
      </c>
      <c r="B26" s="3" t="s">
        <v>16</v>
      </c>
    </row>
    <row r="27" spans="1:2" x14ac:dyDescent="0.35">
      <c r="A27" s="19">
        <v>16</v>
      </c>
      <c r="B27" s="3" t="s">
        <v>17</v>
      </c>
    </row>
    <row r="28" spans="1:2" x14ac:dyDescent="0.35">
      <c r="A28" s="19">
        <v>17</v>
      </c>
      <c r="B28" s="3" t="s">
        <v>18</v>
      </c>
    </row>
    <row r="29" spans="1:2" x14ac:dyDescent="0.35">
      <c r="A29" s="19">
        <v>18</v>
      </c>
      <c r="B29" s="3" t="s">
        <v>19</v>
      </c>
    </row>
    <row r="30" spans="1:2" x14ac:dyDescent="0.35">
      <c r="A30" s="19">
        <v>19</v>
      </c>
      <c r="B30" s="3" t="s">
        <v>20</v>
      </c>
    </row>
    <row r="31" spans="1:2" x14ac:dyDescent="0.35">
      <c r="A31" s="19">
        <v>20</v>
      </c>
      <c r="B31" s="3" t="s">
        <v>21</v>
      </c>
    </row>
    <row r="32" spans="1:2" x14ac:dyDescent="0.35">
      <c r="A32" s="19">
        <v>21</v>
      </c>
      <c r="B32" s="3" t="s">
        <v>22</v>
      </c>
    </row>
    <row r="33" spans="1:2" x14ac:dyDescent="0.35">
      <c r="A33" s="19">
        <v>22</v>
      </c>
      <c r="B33" s="3" t="s">
        <v>23</v>
      </c>
    </row>
    <row r="34" spans="1:2" x14ac:dyDescent="0.35">
      <c r="A34" s="19">
        <v>23</v>
      </c>
      <c r="B34" s="3" t="s">
        <v>24</v>
      </c>
    </row>
    <row r="35" spans="1:2" x14ac:dyDescent="0.35">
      <c r="A35" s="19">
        <v>24</v>
      </c>
      <c r="B35" s="3" t="s">
        <v>25</v>
      </c>
    </row>
    <row r="36" spans="1:2" x14ac:dyDescent="0.35">
      <c r="A36" s="19">
        <v>25</v>
      </c>
      <c r="B36" s="3" t="s">
        <v>26</v>
      </c>
    </row>
    <row r="37" spans="1:2" x14ac:dyDescent="0.35">
      <c r="A37" s="19">
        <v>26</v>
      </c>
      <c r="B37" s="3" t="s">
        <v>27</v>
      </c>
    </row>
    <row r="38" spans="1:2" x14ac:dyDescent="0.35">
      <c r="A38" s="19">
        <v>27</v>
      </c>
      <c r="B38" s="3" t="s">
        <v>28</v>
      </c>
    </row>
    <row r="39" spans="1:2" x14ac:dyDescent="0.35">
      <c r="A39" s="19">
        <v>28</v>
      </c>
      <c r="B39" s="3" t="s">
        <v>29</v>
      </c>
    </row>
    <row r="40" spans="1:2" x14ac:dyDescent="0.35">
      <c r="A40" s="19">
        <v>29</v>
      </c>
      <c r="B40" s="3" t="s">
        <v>30</v>
      </c>
    </row>
    <row r="41" spans="1:2" x14ac:dyDescent="0.35">
      <c r="A41" s="19">
        <v>30</v>
      </c>
      <c r="B41" s="3" t="s">
        <v>31</v>
      </c>
    </row>
    <row r="42" spans="1:2" x14ac:dyDescent="0.35">
      <c r="A42" s="19">
        <v>31</v>
      </c>
      <c r="B42" s="3" t="s">
        <v>32</v>
      </c>
    </row>
    <row r="43" spans="1:2" x14ac:dyDescent="0.35">
      <c r="A43" s="19">
        <v>32</v>
      </c>
      <c r="B43" s="3" t="s">
        <v>33</v>
      </c>
    </row>
    <row r="44" spans="1:2" x14ac:dyDescent="0.35">
      <c r="A44" s="19">
        <v>33</v>
      </c>
      <c r="B44" s="3" t="s">
        <v>34</v>
      </c>
    </row>
    <row r="45" spans="1:2" x14ac:dyDescent="0.35">
      <c r="A45" s="19">
        <v>34</v>
      </c>
      <c r="B45" s="3" t="s">
        <v>35</v>
      </c>
    </row>
    <row r="46" spans="1:2" x14ac:dyDescent="0.35">
      <c r="A46" s="19">
        <v>35</v>
      </c>
      <c r="B46" s="3" t="s">
        <v>36</v>
      </c>
    </row>
    <row r="47" spans="1:2" x14ac:dyDescent="0.35">
      <c r="A47" s="19">
        <v>36</v>
      </c>
      <c r="B47" s="3" t="s">
        <v>37</v>
      </c>
    </row>
    <row r="48" spans="1:2" x14ac:dyDescent="0.35">
      <c r="A48" s="19">
        <v>37</v>
      </c>
      <c r="B48" s="3" t="s">
        <v>38</v>
      </c>
    </row>
    <row r="49" spans="1:2" x14ac:dyDescent="0.35">
      <c r="A49" s="19">
        <v>38</v>
      </c>
      <c r="B49" s="3" t="s">
        <v>39</v>
      </c>
    </row>
    <row r="50" spans="1:2" x14ac:dyDescent="0.35">
      <c r="A50" s="19">
        <v>39</v>
      </c>
      <c r="B50" s="3" t="s">
        <v>40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H7" sqref="H7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Asistencia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Dell</cp:lastModifiedBy>
  <cp:lastPrinted>2025-08-14T19:27:16Z</cp:lastPrinted>
  <dcterms:created xsi:type="dcterms:W3CDTF">2021-12-02T17:38:43Z</dcterms:created>
  <dcterms:modified xsi:type="dcterms:W3CDTF">2026-07-15T21:52:46Z</dcterms:modified>
</cp:coreProperties>
</file>