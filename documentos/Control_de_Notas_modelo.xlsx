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UNIJJAR 2026\1. ODONTOLOGIA\A1\GRUPO A\10. CALIFICACIONES\"/>
    </mc:Choice>
  </mc:AlternateContent>
  <xr:revisionPtr revIDLastSave="0" documentId="13_ncr:1_{AF8181DE-A85D-4913-AABD-95288BC4E7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tas" sheetId="4" r:id="rId1"/>
    <sheet name="Hoja1" sheetId="1" state="hidden" r:id="rId2"/>
    <sheet name="Hoja2" sheetId="2" state="hidden" r:id="rId3"/>
  </sheets>
  <definedNames>
    <definedName name="_xlnm._FilterDatabase" localSheetId="0" hidden="1">Notas!$C$9:$C$47</definedName>
    <definedName name="_xlnm.Extract" localSheetId="0">Notas!$B$50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2" i="4" l="1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11" i="4"/>
  <c r="R27" i="4"/>
  <c r="R15" i="4"/>
  <c r="K15" i="4"/>
  <c r="M15" i="4" s="1"/>
  <c r="K27" i="4"/>
  <c r="M27" i="4" s="1"/>
  <c r="AC36" i="4" l="1"/>
  <c r="AC12" i="4"/>
  <c r="AD12" i="4" s="1"/>
  <c r="AC29" i="4"/>
  <c r="AD29" i="4" s="1"/>
  <c r="AC13" i="4"/>
  <c r="AD13" i="4" s="1"/>
  <c r="AC14" i="4"/>
  <c r="AD14" i="4" s="1"/>
  <c r="AC23" i="4"/>
  <c r="AC11" i="4"/>
  <c r="AD11" i="4" s="1"/>
  <c r="AC38" i="4"/>
  <c r="AD38" i="4" s="1"/>
  <c r="AC18" i="4"/>
  <c r="AD18" i="4" s="1"/>
  <c r="AC25" i="4"/>
  <c r="AD25" i="4" s="1"/>
  <c r="AC27" i="4"/>
  <c r="AD27" i="4" s="1"/>
  <c r="AC19" i="4"/>
  <c r="AD19" i="4" s="1"/>
  <c r="AC32" i="4"/>
  <c r="AD32" i="4" s="1"/>
  <c r="AC17" i="4"/>
  <c r="AD17" i="4" s="1"/>
  <c r="AC33" i="4"/>
  <c r="AD33" i="4" s="1"/>
  <c r="AC20" i="4"/>
  <c r="AC26" i="4"/>
  <c r="AD26" i="4" s="1"/>
  <c r="AC35" i="4"/>
  <c r="AD35" i="4" s="1"/>
  <c r="AC24" i="4"/>
  <c r="AD24" i="4" s="1"/>
  <c r="AC28" i="4"/>
  <c r="AD28" i="4" s="1"/>
  <c r="AC16" i="4"/>
  <c r="AD16" i="4" s="1"/>
  <c r="AC34" i="4"/>
  <c r="AD34" i="4" s="1"/>
  <c r="AC37" i="4"/>
  <c r="AD37" i="4" s="1"/>
  <c r="AC30" i="4"/>
  <c r="AD30" i="4" s="1"/>
  <c r="AC22" i="4"/>
  <c r="AD22" i="4" s="1"/>
  <c r="AC21" i="4"/>
  <c r="AD21" i="4" s="1"/>
  <c r="AC31" i="4"/>
  <c r="AC15" i="4"/>
  <c r="AD15" i="4" s="1"/>
  <c r="T27" i="4"/>
  <c r="T15" i="4"/>
  <c r="K32" i="4"/>
  <c r="M32" i="4" s="1"/>
  <c r="R32" i="4"/>
  <c r="K33" i="4"/>
  <c r="M33" i="4" s="1"/>
  <c r="R33" i="4"/>
  <c r="K37" i="4"/>
  <c r="M37" i="4" s="1"/>
  <c r="R37" i="4"/>
  <c r="K23" i="4"/>
  <c r="M23" i="4" s="1"/>
  <c r="R23" i="4"/>
  <c r="K11" i="4"/>
  <c r="M11" i="4" s="1"/>
  <c r="R11" i="4"/>
  <c r="K13" i="4"/>
  <c r="M13" i="4" s="1"/>
  <c r="R13" i="4"/>
  <c r="K14" i="4"/>
  <c r="M14" i="4" s="1"/>
  <c r="R14" i="4"/>
  <c r="K26" i="4"/>
  <c r="M26" i="4" s="1"/>
  <c r="R26" i="4"/>
  <c r="E51" i="4"/>
  <c r="C51" i="4"/>
  <c r="C52" i="4"/>
  <c r="R16" i="4"/>
  <c r="T16" i="4" s="1"/>
  <c r="AD23" i="4" l="1"/>
  <c r="AD20" i="4"/>
  <c r="T32" i="4"/>
  <c r="T33" i="4"/>
  <c r="T37" i="4"/>
  <c r="T23" i="4"/>
  <c r="T11" i="4"/>
  <c r="T13" i="4"/>
  <c r="T14" i="4"/>
  <c r="T26" i="4"/>
  <c r="K16" i="4"/>
  <c r="K17" i="4"/>
  <c r="K18" i="4"/>
  <c r="K19" i="4"/>
  <c r="K20" i="4"/>
  <c r="K21" i="4"/>
  <c r="K22" i="4"/>
  <c r="K24" i="4"/>
  <c r="K25" i="4"/>
  <c r="K28" i="4"/>
  <c r="K29" i="4"/>
  <c r="K30" i="4"/>
  <c r="K31" i="4"/>
  <c r="K34" i="4"/>
  <c r="K35" i="4"/>
  <c r="K36" i="4"/>
  <c r="K38" i="4"/>
  <c r="C71" i="4" l="1"/>
  <c r="B73" i="4" s="1" a="1"/>
  <c r="R17" i="4" l="1"/>
  <c r="R18" i="4"/>
  <c r="R19" i="4"/>
  <c r="R20" i="4"/>
  <c r="R21" i="4"/>
  <c r="R22" i="4"/>
  <c r="R24" i="4"/>
  <c r="R25" i="4"/>
  <c r="R28" i="4"/>
  <c r="R29" i="4"/>
  <c r="R30" i="4"/>
  <c r="R31" i="4"/>
  <c r="R34" i="4"/>
  <c r="R35" i="4"/>
  <c r="R36" i="4"/>
  <c r="R38" i="4"/>
  <c r="K12" i="4"/>
  <c r="T17" i="4" l="1"/>
  <c r="T18" i="4"/>
  <c r="T19" i="4"/>
  <c r="T20" i="4"/>
  <c r="T21" i="4"/>
  <c r="T22" i="4"/>
  <c r="T24" i="4"/>
  <c r="T25" i="4"/>
  <c r="T28" i="4"/>
  <c r="T29" i="4"/>
  <c r="T30" i="4"/>
  <c r="T31" i="4"/>
  <c r="AD31" i="4" s="1"/>
  <c r="T34" i="4"/>
  <c r="T35" i="4"/>
  <c r="T36" i="4"/>
  <c r="AD36" i="4" s="1"/>
  <c r="T38" i="4"/>
  <c r="R12" i="4"/>
  <c r="M16" i="4"/>
  <c r="M17" i="4"/>
  <c r="M18" i="4"/>
  <c r="M19" i="4"/>
  <c r="M20" i="4"/>
  <c r="M21" i="4"/>
  <c r="M24" i="4"/>
  <c r="M25" i="4"/>
  <c r="M28" i="4"/>
  <c r="M29" i="4"/>
  <c r="M30" i="4"/>
  <c r="M31" i="4"/>
  <c r="M34" i="4"/>
  <c r="M35" i="4"/>
  <c r="M36" i="4"/>
  <c r="M38" i="4"/>
  <c r="M22" i="4"/>
  <c r="M12" i="4"/>
  <c r="AC48" i="4" l="1"/>
  <c r="C65" i="4" s="1"/>
  <c r="B67" i="4" s="1" a="1"/>
  <c r="T12" i="4"/>
  <c r="AD48" i="4"/>
  <c r="C55" i="4"/>
  <c r="E52" i="4" s="1"/>
  <c r="E53" i="4" s="1"/>
  <c r="C56" i="4"/>
  <c r="M48" i="4"/>
  <c r="C59" i="4" s="1"/>
  <c r="B61" i="4" s="1" a="1"/>
  <c r="C77" i="4" l="1"/>
  <c r="B79" i="4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TIC</author>
  </authors>
  <commentList>
    <comment ref="E10" authorId="0" shapeId="0" xr:uid="{5C11D1D4-7AAB-4869-94D9-E28965D163C6}">
      <text>
        <r>
          <rPr>
            <b/>
            <sz val="9"/>
            <color indexed="81"/>
            <rFont val="Tahoma"/>
            <charset val="1"/>
          </rPr>
          <t>TIC: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<sst xmlns="http://schemas.openxmlformats.org/spreadsheetml/2006/main" count="189" uniqueCount="131">
  <si>
    <t>No</t>
  </si>
  <si>
    <t>Apellidos y Nombres</t>
  </si>
  <si>
    <t>Acevedo Segura Pedro José</t>
  </si>
  <si>
    <t>Aguirre Flores Cilenia Tatiana</t>
  </si>
  <si>
    <t>Areas Vasquez Brandy Juleysi</t>
  </si>
  <si>
    <t>Arteaga Granados Zurisadai Jaasiel</t>
  </si>
  <si>
    <t>Burgos López Sayma Antonieta</t>
  </si>
  <si>
    <t>Bustamante Hernandez María Fernanda</t>
  </si>
  <si>
    <t>Caracas Benitez Elisa Eliane</t>
  </si>
  <si>
    <t>Castillo Gutierrez Brandon Nauj</t>
  </si>
  <si>
    <t>Castillo López Shirley Odeth</t>
  </si>
  <si>
    <t>Castilla Sequeira Stephany</t>
  </si>
  <si>
    <t>Cisneros Marenco Anjhely Lestania</t>
  </si>
  <si>
    <t>Cortez Solis Brinnehy Nohemy</t>
  </si>
  <si>
    <t>Cuarezma Zamora Drina Vanessa</t>
  </si>
  <si>
    <t>Espinoza Pravia Verónica Alexandra</t>
  </si>
  <si>
    <t>Espinoza Guerrero Elizabeth de los Angeles</t>
  </si>
  <si>
    <t>Estrada Vanegas Milagros del Socorro</t>
  </si>
  <si>
    <t>Fernandez Maltez Samantha de los Angeles</t>
  </si>
  <si>
    <t>Flores Quintero Fernando</t>
  </si>
  <si>
    <t>Flores Sanchez Belen Abigail</t>
  </si>
  <si>
    <t>Francis Gutiérrez Macyerlis Celeste</t>
  </si>
  <si>
    <t>Garcia Gongora Maryeris Fernanda</t>
  </si>
  <si>
    <t>García Hansin José Ignacio</t>
  </si>
  <si>
    <t>Garcia Jarquin Elder Javier</t>
  </si>
  <si>
    <t>García Ramírez Ashlly Natalia</t>
  </si>
  <si>
    <t>Gómez Ortega Jeyling Danesca</t>
  </si>
  <si>
    <r>
      <t>Gonzalez Lopez Engel de Jesus</t>
    </r>
    <r>
      <rPr>
        <b/>
        <sz val="11"/>
        <color rgb="FFFF0000"/>
        <rFont val="Calibri"/>
        <family val="2"/>
        <scheme val="minor"/>
      </rPr>
      <t xml:space="preserve"> -</t>
    </r>
  </si>
  <si>
    <r>
      <t>Guillen Diaz Francis Rachel</t>
    </r>
    <r>
      <rPr>
        <b/>
        <sz val="11"/>
        <color rgb="FFFF0000"/>
        <rFont val="Calibri"/>
        <family val="2"/>
        <scheme val="minor"/>
      </rPr>
      <t xml:space="preserve"> -</t>
    </r>
  </si>
  <si>
    <t>Hernandez Cruz Dayana Massiel</t>
  </si>
  <si>
    <t>Hernandez Laguna Angelica María</t>
  </si>
  <si>
    <t>Irias Blandón Ilse Jahozka</t>
  </si>
  <si>
    <t>Jarquin Sharon Brithanya</t>
  </si>
  <si>
    <t>Jarquin Flores Jossnwierthz Enmanuel</t>
  </si>
  <si>
    <t>López Ramos Denis Rubén</t>
  </si>
  <si>
    <r>
      <t xml:space="preserve">López Vargas Leyding Jassarely </t>
    </r>
    <r>
      <rPr>
        <b/>
        <sz val="11"/>
        <color rgb="FFFF0000"/>
        <rFont val="Calibri"/>
        <family val="2"/>
        <scheme val="minor"/>
      </rPr>
      <t>-</t>
    </r>
  </si>
  <si>
    <r>
      <t>Loza Rizo Stayce Daniella</t>
    </r>
    <r>
      <rPr>
        <b/>
        <sz val="11"/>
        <color rgb="FFFF0000"/>
        <rFont val="Calibri"/>
        <family val="2"/>
        <scheme val="minor"/>
      </rPr>
      <t xml:space="preserve"> -</t>
    </r>
  </si>
  <si>
    <t>Martínez Gabriela Mercedes</t>
  </si>
  <si>
    <t>Rodríguez Rodríguez Velia Luzcielly</t>
  </si>
  <si>
    <t>Sequeira Martínez Danilo Josue</t>
  </si>
  <si>
    <r>
      <t xml:space="preserve">Talavera Lanzas Xaviera Ivonne </t>
    </r>
    <r>
      <rPr>
        <b/>
        <sz val="11"/>
        <color rgb="FFFF0000"/>
        <rFont val="Calibri"/>
        <family val="2"/>
        <scheme val="minor"/>
      </rPr>
      <t>-</t>
    </r>
  </si>
  <si>
    <t xml:space="preserve">UNIVERSIDAD JEAN JACQUES ROUSSEAU                    </t>
  </si>
  <si>
    <t xml:space="preserve">FACULTAD DE CIENCIAS MÉDICAS                                                                </t>
  </si>
  <si>
    <t>CONTROL DE NOTAS</t>
  </si>
  <si>
    <r>
      <rPr>
        <b/>
        <sz val="12"/>
        <color rgb="FF006100"/>
        <rFont val="Calibri"/>
        <family val="2"/>
        <scheme val="minor"/>
      </rPr>
      <t xml:space="preserve">Asignatura : </t>
    </r>
    <r>
      <rPr>
        <sz val="12"/>
        <color rgb="FF006100"/>
        <rFont val="Calibri"/>
        <family val="2"/>
        <scheme val="minor"/>
      </rPr>
      <t xml:space="preserve"> Informática Medica (INF126)</t>
    </r>
  </si>
  <si>
    <t>Modalidad : Matutino</t>
  </si>
  <si>
    <r>
      <rPr>
        <b/>
        <sz val="12"/>
        <color rgb="FF006100"/>
        <rFont val="Calibri"/>
        <family val="2"/>
        <scheme val="minor"/>
      </rPr>
      <t>Grupo :</t>
    </r>
    <r>
      <rPr>
        <sz val="12"/>
        <color rgb="FF006100"/>
        <rFont val="Calibri"/>
        <family val="2"/>
        <scheme val="minor"/>
      </rPr>
      <t xml:space="preserve"> 0032021S2</t>
    </r>
  </si>
  <si>
    <r>
      <rPr>
        <b/>
        <sz val="12"/>
        <color rgb="FF006100"/>
        <rFont val="Calibri"/>
        <family val="2"/>
        <scheme val="minor"/>
      </rPr>
      <t>Periodo:</t>
    </r>
    <r>
      <rPr>
        <sz val="12"/>
        <color rgb="FF006100"/>
        <rFont val="Calibri"/>
        <family val="2"/>
        <scheme val="minor"/>
      </rPr>
      <t xml:space="preserve"> 2021S2</t>
    </r>
  </si>
  <si>
    <r>
      <rPr>
        <b/>
        <sz val="12"/>
        <color rgb="FF006100"/>
        <rFont val="Calibri"/>
        <family val="2"/>
        <scheme val="minor"/>
      </rPr>
      <t>Carrera :</t>
    </r>
    <r>
      <rPr>
        <sz val="12"/>
        <color rgb="FF006100"/>
        <rFont val="Calibri"/>
        <family val="2"/>
        <scheme val="minor"/>
      </rPr>
      <t xml:space="preserve"> Medicina y Cirugia</t>
    </r>
  </si>
  <si>
    <r>
      <rPr>
        <b/>
        <sz val="12"/>
        <color rgb="FF006100"/>
        <rFont val="Calibri"/>
        <family val="2"/>
        <scheme val="minor"/>
      </rPr>
      <t>Año académico :</t>
    </r>
    <r>
      <rPr>
        <sz val="12"/>
        <color rgb="FF006100"/>
        <rFont val="Calibri"/>
        <family val="2"/>
        <scheme val="minor"/>
      </rPr>
      <t xml:space="preserve"> 1ro</t>
    </r>
  </si>
  <si>
    <t>NOTA III PARCIAL</t>
  </si>
  <si>
    <t>III SEMESTRE 2021</t>
  </si>
  <si>
    <t>Carnet</t>
  </si>
  <si>
    <t>P1</t>
  </si>
  <si>
    <t>P2</t>
  </si>
  <si>
    <t>P3</t>
  </si>
  <si>
    <t>Pruebas Evaluativas</t>
  </si>
  <si>
    <t>I 
Nota</t>
  </si>
  <si>
    <t>II 
Nota</t>
  </si>
  <si>
    <t>Ex</t>
  </si>
  <si>
    <t>P4</t>
  </si>
  <si>
    <t>P5</t>
  </si>
  <si>
    <t>P6</t>
  </si>
  <si>
    <t>Acu</t>
  </si>
  <si>
    <t>Nota Final</t>
  </si>
  <si>
    <t>Estadisticas</t>
  </si>
  <si>
    <t>Sexo</t>
  </si>
  <si>
    <t>F</t>
  </si>
  <si>
    <t>M</t>
  </si>
  <si>
    <t>Cantidad</t>
  </si>
  <si>
    <t>Notas</t>
  </si>
  <si>
    <t>Aplazados</t>
  </si>
  <si>
    <t>Aprobados</t>
  </si>
  <si>
    <t>Mejor Promedio</t>
  </si>
  <si>
    <t>Resultados</t>
  </si>
  <si>
    <t>Mejor Promedio del I parcial</t>
  </si>
  <si>
    <t>Promedio</t>
  </si>
  <si>
    <t>Mejor Promedio del II parcial</t>
  </si>
  <si>
    <t>Mejor Promedio del III parcial</t>
  </si>
  <si>
    <t>Excelencia Academica</t>
  </si>
  <si>
    <t>Elaborado por:</t>
  </si>
  <si>
    <t>Asistencia I Parcial</t>
  </si>
  <si>
    <t>Redimiento Académico</t>
  </si>
  <si>
    <t>Total</t>
  </si>
  <si>
    <t>% Rendimiento Académico</t>
  </si>
  <si>
    <r>
      <rPr>
        <b/>
        <sz val="12"/>
        <color rgb="FF006100"/>
        <rFont val="Calibri"/>
        <family val="2"/>
        <scheme val="minor"/>
      </rPr>
      <t xml:space="preserve">Asignatura : </t>
    </r>
    <r>
      <rPr>
        <sz val="12"/>
        <color rgb="FF006100"/>
        <rFont val="Calibri"/>
        <family val="2"/>
        <scheme val="minor"/>
      </rPr>
      <t xml:space="preserve"> </t>
    </r>
  </si>
  <si>
    <r>
      <rPr>
        <b/>
        <sz val="12"/>
        <color rgb="FF006100"/>
        <rFont val="Calibri"/>
        <family val="2"/>
        <scheme val="minor"/>
      </rPr>
      <t>Grupo :</t>
    </r>
    <r>
      <rPr>
        <sz val="12"/>
        <color rgb="FF006100"/>
        <rFont val="Calibri"/>
        <family val="2"/>
        <scheme val="minor"/>
      </rPr>
      <t xml:space="preserve"> </t>
    </r>
  </si>
  <si>
    <r>
      <rPr>
        <b/>
        <sz val="12"/>
        <color rgb="FF006100"/>
        <rFont val="Calibri"/>
        <family val="2"/>
        <scheme val="minor"/>
      </rPr>
      <t>Carrera :</t>
    </r>
    <r>
      <rPr>
        <sz val="12"/>
        <color rgb="FF006100"/>
        <rFont val="Calibri"/>
        <family val="2"/>
        <scheme val="minor"/>
      </rPr>
      <t xml:space="preserve"> </t>
    </r>
  </si>
  <si>
    <r>
      <rPr>
        <b/>
        <sz val="12"/>
        <color rgb="FF006100"/>
        <rFont val="Calibri"/>
        <family val="2"/>
        <scheme val="minor"/>
      </rPr>
      <t>Docente:</t>
    </r>
    <r>
      <rPr>
        <sz val="12"/>
        <color rgb="FF006100"/>
        <rFont val="Calibri"/>
        <family val="2"/>
        <scheme val="minor"/>
      </rPr>
      <t xml:space="preserve"> </t>
    </r>
  </si>
  <si>
    <r>
      <rPr>
        <b/>
        <sz val="12"/>
        <color rgb="FF006100"/>
        <rFont val="Calibri"/>
        <family val="2"/>
        <scheme val="minor"/>
      </rPr>
      <t>Modalidad</t>
    </r>
    <r>
      <rPr>
        <sz val="12"/>
        <color rgb="FF006100"/>
        <rFont val="Calibri"/>
        <family val="2"/>
        <scheme val="minor"/>
      </rPr>
      <t xml:space="preserve"> :</t>
    </r>
  </si>
  <si>
    <t>Periodo:</t>
  </si>
  <si>
    <t>Año académico :</t>
  </si>
  <si>
    <t>I SEMESTRE 2026</t>
  </si>
  <si>
    <t>ENGLISH A1</t>
  </si>
  <si>
    <t>LIC. WASCAR ENRIQUE SEQUEIRA HURTADO</t>
  </si>
  <si>
    <t>LIC. EN ODONTOLOGIA</t>
  </si>
  <si>
    <t>DIURNO</t>
  </si>
  <si>
    <t>SEMESTRAL</t>
  </si>
  <si>
    <t>I</t>
  </si>
  <si>
    <t>A</t>
  </si>
  <si>
    <t>AGURCIA RIVERA KAROLINA</t>
  </si>
  <si>
    <t>AMADOR VANEGAS ELIZABETH FERNANDA</t>
  </si>
  <si>
    <t>BERRIOS CASTILLO LUIS CARLOS</t>
  </si>
  <si>
    <t>BETETA SALMERON JAMINTON EZEQUIEL</t>
  </si>
  <si>
    <t xml:space="preserve">COLINDRES RAMIREZ ALONDRA SINAI </t>
  </si>
  <si>
    <t>FONSECA MARTINEZ MICHELL CAROLINA</t>
  </si>
  <si>
    <t>FLORES BALTODANO ASHLEY HILLARY</t>
  </si>
  <si>
    <t xml:space="preserve">FRANCO RIVAS LINDSAY SAMANTA </t>
  </si>
  <si>
    <t>GOMEZ GARCIA FRANCISCA NAHOMY</t>
  </si>
  <si>
    <t>GUZMAN FLORES CIDMARY ALEJANDRA</t>
  </si>
  <si>
    <t>HERNANDEZ CARLOS MANUEL</t>
  </si>
  <si>
    <t>HERNANDEZ ASHLEE NATALIA</t>
  </si>
  <si>
    <t>LOPEZ CUBILLO ALISSON GABRIELA</t>
  </si>
  <si>
    <t>MARADIAGA GONZALEZ EVA LISSETH</t>
  </si>
  <si>
    <t>MOLINARES SALGADO JAN FRANCO</t>
  </si>
  <si>
    <t>MONTIEL MONTIEL SARA MARCELA</t>
  </si>
  <si>
    <t>MUÑOZ HIGUITA FABIANA ESMERALDA</t>
  </si>
  <si>
    <t>OROZCO GARCIA ELYIN OBED</t>
  </si>
  <si>
    <t xml:space="preserve">PEREZ CACERES ANDREA ALEXANDRA </t>
  </si>
  <si>
    <t>PEREZ GAITAN DANIELA AZUCENA</t>
  </si>
  <si>
    <t>REYES DAVILA ALEXA PAOLA</t>
  </si>
  <si>
    <t>REYES FLORES JORGELINE STHEFANY</t>
  </si>
  <si>
    <t>SANCHEZ OBANDO KATHERINE MARIA</t>
  </si>
  <si>
    <t>TALAVERA TERCERO LUIS EDUARDO</t>
  </si>
  <si>
    <t>MARQUINA MORA ASHLEY JAEL</t>
  </si>
  <si>
    <t>CARMONA CASTRO PEDRO GEOVANNY</t>
  </si>
  <si>
    <t>MOLINA LOPEZ CRISTHEL ROSMERY</t>
  </si>
  <si>
    <t>DAVILA ARAUZ JARLISSA DE GUADALUPE</t>
  </si>
  <si>
    <t>Ex 2</t>
  </si>
  <si>
    <t>Ex 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</si>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</sst>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0061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BE5E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FFFD2"/>
        <bgColor indexed="64"/>
      </patternFill>
    </fill>
    <fill>
      <patternFill patternType="solid">
        <fgColor rgb="FF18B8B4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70C0"/>
      </left>
      <right/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9" fontId="12" fillId="0" borderId="0" applyFont="0" applyFill="0" applyBorder="0" applyAlignment="0" applyProtection="0"/>
  </cellStyleXfs>
  <cellXfs count="63">
    <xf numFmtId="0" fontId="0" fillId="0" borderId="0" xfId="0"/>
    <xf numFmtId="0" fontId="3" fillId="3" borderId="1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3" borderId="4" xfId="1" applyFill="1" applyBorder="1" applyAlignment="1">
      <alignment vertical="center"/>
    </xf>
    <xf numFmtId="0" fontId="3" fillId="4" borderId="8" xfId="1" applyFont="1" applyFill="1" applyBorder="1" applyAlignment="1">
      <alignment horizontal="center" vertical="center" textRotation="90"/>
    </xf>
    <xf numFmtId="0" fontId="5" fillId="0" borderId="6" xfId="1" applyFont="1" applyFill="1" applyBorder="1" applyAlignment="1">
      <alignment wrapText="1"/>
    </xf>
    <xf numFmtId="0" fontId="5" fillId="0" borderId="0" xfId="1" applyFont="1" applyFill="1" applyBorder="1" applyAlignment="1">
      <alignment wrapText="1"/>
    </xf>
    <xf numFmtId="0" fontId="1" fillId="0" borderId="0" xfId="1" applyFill="1" applyBorder="1" applyAlignment="1">
      <alignment horizontal="center"/>
    </xf>
    <xf numFmtId="0" fontId="1" fillId="0" borderId="0" xfId="1" applyFill="1" applyBorder="1"/>
    <xf numFmtId="0" fontId="6" fillId="0" borderId="0" xfId="1" applyFont="1" applyFill="1" applyBorder="1"/>
    <xf numFmtId="0" fontId="6" fillId="0" borderId="0" xfId="1" applyFont="1" applyFill="1" applyBorder="1" applyAlignment="1"/>
    <xf numFmtId="0" fontId="1" fillId="0" borderId="0" xfId="1" applyFill="1" applyBorder="1" applyAlignment="1"/>
    <xf numFmtId="0" fontId="5" fillId="5" borderId="6" xfId="1" applyFont="1" applyFill="1" applyBorder="1" applyAlignment="1">
      <alignment wrapText="1"/>
    </xf>
    <xf numFmtId="0" fontId="5" fillId="5" borderId="0" xfId="1" applyFont="1" applyFill="1" applyBorder="1" applyAlignment="1">
      <alignment wrapText="1"/>
    </xf>
    <xf numFmtId="0" fontId="1" fillId="5" borderId="7" xfId="1" applyFill="1" applyBorder="1" applyAlignment="1">
      <alignment horizontal="center"/>
    </xf>
    <xf numFmtId="0" fontId="1" fillId="5" borderId="0" xfId="1" applyFill="1" applyBorder="1" applyAlignment="1">
      <alignment horizontal="center"/>
    </xf>
    <xf numFmtId="0" fontId="6" fillId="5" borderId="0" xfId="1" applyFont="1" applyFill="1" applyBorder="1"/>
    <xf numFmtId="0" fontId="0" fillId="5" borderId="0" xfId="0" applyFill="1"/>
    <xf numFmtId="0" fontId="0" fillId="0" borderId="0" xfId="0" applyAlignment="1">
      <alignment horizontal="center"/>
    </xf>
    <xf numFmtId="0" fontId="1" fillId="3" borderId="3" xfId="1" applyFill="1" applyBorder="1" applyAlignment="1">
      <alignment horizontal="center"/>
    </xf>
    <xf numFmtId="0" fontId="6" fillId="5" borderId="0" xfId="1" applyFont="1" applyFill="1" applyBorder="1" applyAlignment="1">
      <alignment horizontal="left"/>
    </xf>
    <xf numFmtId="0" fontId="5" fillId="5" borderId="0" xfId="1" applyFont="1" applyFill="1" applyBorder="1"/>
    <xf numFmtId="0" fontId="1" fillId="3" borderId="9" xfId="1" applyFill="1" applyBorder="1" applyAlignment="1">
      <alignment horizontal="center"/>
    </xf>
    <xf numFmtId="0" fontId="7" fillId="6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vertical="center" wrapText="1"/>
    </xf>
    <xf numFmtId="0" fontId="3" fillId="4" borderId="9" xfId="1" applyFont="1" applyFill="1" applyBorder="1" applyAlignment="1">
      <alignment horizontal="center" vertical="center"/>
    </xf>
    <xf numFmtId="0" fontId="6" fillId="5" borderId="0" xfId="1" applyFont="1" applyFill="1" applyBorder="1" applyAlignment="1"/>
    <xf numFmtId="0" fontId="8" fillId="0" borderId="0" xfId="0" applyFont="1"/>
    <xf numFmtId="0" fontId="9" fillId="6" borderId="9" xfId="0" applyFont="1" applyFill="1" applyBorder="1" applyAlignment="1">
      <alignment horizontal="center" vertical="center" wrapText="1"/>
    </xf>
    <xf numFmtId="0" fontId="10" fillId="3" borderId="9" xfId="1" applyFont="1" applyFill="1" applyBorder="1" applyAlignment="1">
      <alignment horizontal="center"/>
    </xf>
    <xf numFmtId="0" fontId="3" fillId="3" borderId="9" xfId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3" borderId="10" xfId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2" fontId="10" fillId="3" borderId="14" xfId="1" applyNumberFormat="1" applyFont="1" applyFill="1" applyBorder="1" applyAlignment="1">
      <alignment horizontal="center"/>
    </xf>
    <xf numFmtId="0" fontId="2" fillId="0" borderId="0" xfId="0" applyFont="1"/>
    <xf numFmtId="2" fontId="0" fillId="0" borderId="0" xfId="0" applyNumberFormat="1"/>
    <xf numFmtId="0" fontId="2" fillId="0" borderId="0" xfId="0" applyFont="1" applyAlignment="1">
      <alignment horizontal="right"/>
    </xf>
    <xf numFmtId="9" fontId="0" fillId="0" borderId="9" xfId="2" applyFont="1" applyBorder="1" applyAlignment="1">
      <alignment horizontal="center"/>
    </xf>
    <xf numFmtId="2" fontId="10" fillId="3" borderId="9" xfId="1" applyNumberFormat="1" applyFont="1" applyFill="1" applyBorder="1" applyAlignment="1">
      <alignment horizontal="center"/>
    </xf>
    <xf numFmtId="0" fontId="15" fillId="6" borderId="9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vertical="center" wrapText="1"/>
    </xf>
    <xf numFmtId="0" fontId="16" fillId="6" borderId="9" xfId="0" applyFont="1" applyFill="1" applyBorder="1" applyAlignment="1">
      <alignment vertical="center" wrapText="1"/>
    </xf>
    <xf numFmtId="0" fontId="3" fillId="7" borderId="10" xfId="1" applyFont="1" applyFill="1" applyBorder="1" applyAlignment="1">
      <alignment horizontal="center" vertical="center" wrapText="1"/>
    </xf>
    <xf numFmtId="0" fontId="3" fillId="7" borderId="11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0" fontId="3" fillId="4" borderId="15" xfId="1" applyFont="1" applyFill="1" applyBorder="1" applyAlignment="1">
      <alignment horizontal="center" vertical="center"/>
    </xf>
    <xf numFmtId="0" fontId="3" fillId="4" borderId="13" xfId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5" fillId="5" borderId="5" xfId="1" applyFont="1" applyFill="1" applyBorder="1" applyAlignment="1">
      <alignment horizontal="center" wrapText="1"/>
    </xf>
    <xf numFmtId="0" fontId="5" fillId="5" borderId="6" xfId="1" applyFont="1" applyFill="1" applyBorder="1" applyAlignment="1">
      <alignment horizontal="center" wrapText="1"/>
    </xf>
    <xf numFmtId="0" fontId="5" fillId="5" borderId="7" xfId="1" applyFont="1" applyFill="1" applyBorder="1" applyAlignment="1">
      <alignment horizontal="center" wrapText="1"/>
    </xf>
    <xf numFmtId="0" fontId="5" fillId="5" borderId="0" xfId="1" applyFont="1" applyFill="1" applyBorder="1" applyAlignment="1">
      <alignment horizontal="center" wrapText="1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left"/>
    </xf>
    <xf numFmtId="0" fontId="2" fillId="8" borderId="13" xfId="0" applyFont="1" applyFill="1" applyBorder="1" applyAlignment="1">
      <alignment horizontal="left"/>
    </xf>
    <xf numFmtId="0" fontId="0" fillId="0" borderId="0" xfId="0" applyAlignment="1">
      <alignment horizontal="center"/>
    </xf>
  </cellXfs>
  <cellStyles count="3">
    <cellStyle name="Bueno" xfId="1" builtinId="26"/>
    <cellStyle name="Normal" xfId="0" builtinId="0"/>
    <cellStyle name="Porcentaje" xfId="2" builtinId="5"/>
  </cellStyles>
  <dxfs count="8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CC00"/>
      <color rgb="FF18B8B4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2166408</xdr:colOff>
      <xdr:row>0</xdr:row>
      <xdr:rowOff>52916</xdr:rowOff>
    </xdr:from>
    <xdr:to>
      <xdr:col>3</xdr:col>
      <xdr:colOff>2918883</xdr:colOff>
      <xdr:row>3</xdr:row>
      <xdr:rowOff>177799</xdr:rowOff>
    </xdr:to>
    <xdr:pic>
      <xdr:nvPicPr>
        <xdr:cNvPr id="2" name="Imagen 1" descr="UNIJJ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52916"/>
          <a:ext cx="752475" cy="728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95250</xdr:rowOff>
    </xdr:from>
    <xdr:to>
      <xdr:col>1</xdr:col>
      <xdr:colOff>257175</xdr:colOff>
      <xdr:row>4</xdr:row>
      <xdr:rowOff>19050</xdr:rowOff>
    </xdr:to>
    <xdr:pic>
      <xdr:nvPicPr>
        <xdr:cNvPr id="2" name="Imagen 1" descr="UNIJJA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95250"/>
          <a:ext cx="75247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8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90"/>
  <sheetViews>
    <sheetView tabSelected="1" topLeftCell="A6" zoomScale="50" zoomScaleNormal="50" workbookViewId="0">
      <selection activeCell="A37" sqref="A37:XFD37"/>
    </sheetView>
  </sheetViews>
  <sheetFormatPr baseColWidth="10" defaultRowHeight="14.5" x14ac:dyDescent="0.35"/>
  <cols>
    <col min="1" max="1" width="4.26953125" style="18" customWidth="1"/>
    <col min="2" max="2" width="13.54296875" style="18" customWidth="1"/>
    <col min="3" max="3" width="12.7265625" style="18" customWidth="1"/>
    <col min="4" max="4" width="47.54296875" customWidth="1"/>
    <col min="5" max="6" width="7.7265625" customWidth="1"/>
    <col min="7" max="7" width="8.1796875" customWidth="1"/>
    <col min="8" max="30" width="7.7265625" customWidth="1"/>
  </cols>
  <sheetData>
    <row r="1" spans="1:33" ht="15.75" customHeight="1" x14ac:dyDescent="0.35">
      <c r="A1" s="52" t="s">
        <v>41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"/>
      <c r="AF1" s="5"/>
      <c r="AG1" s="5"/>
    </row>
    <row r="2" spans="1:33" ht="15.75" customHeight="1" x14ac:dyDescent="0.35">
      <c r="A2" s="54" t="s">
        <v>42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6"/>
      <c r="AF2" s="6"/>
      <c r="AG2" s="6"/>
    </row>
    <row r="3" spans="1:33" ht="15.75" customHeight="1" x14ac:dyDescent="0.35">
      <c r="A3" s="54" t="s">
        <v>92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6"/>
      <c r="AF3" s="6"/>
      <c r="AG3" s="6"/>
    </row>
    <row r="4" spans="1:33" ht="15.75" customHeight="1" x14ac:dyDescent="0.35">
      <c r="A4" s="54" t="s">
        <v>43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6"/>
      <c r="AF4" s="6"/>
      <c r="AG4" s="6"/>
    </row>
    <row r="5" spans="1:33" x14ac:dyDescent="0.3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7"/>
      <c r="AF5" s="7"/>
      <c r="AG5" s="7"/>
    </row>
    <row r="6" spans="1:33" ht="15.5" x14ac:dyDescent="0.35">
      <c r="A6" s="20" t="s">
        <v>85</v>
      </c>
      <c r="B6" s="20"/>
      <c r="C6" s="20" t="s">
        <v>93</v>
      </c>
      <c r="D6" s="17"/>
      <c r="E6" s="20" t="s">
        <v>88</v>
      </c>
      <c r="F6" s="17"/>
      <c r="G6" s="17" t="s">
        <v>94</v>
      </c>
      <c r="H6" s="17"/>
      <c r="I6" s="17"/>
      <c r="J6" s="17"/>
      <c r="K6" s="17"/>
      <c r="L6" s="17"/>
      <c r="M6" s="17"/>
      <c r="N6" s="17"/>
      <c r="O6" s="17"/>
      <c r="P6" s="17"/>
      <c r="Q6" s="16" t="s">
        <v>89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6" t="s">
        <v>96</v>
      </c>
      <c r="AC6" s="16"/>
      <c r="AD6" s="16"/>
      <c r="AE6" s="9"/>
      <c r="AF6" s="8"/>
      <c r="AG6" s="8"/>
    </row>
    <row r="7" spans="1:33" ht="15.5" x14ac:dyDescent="0.35">
      <c r="A7" s="20" t="s">
        <v>86</v>
      </c>
      <c r="B7" s="20"/>
      <c r="C7" s="20" t="s">
        <v>99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21" t="s">
        <v>90</v>
      </c>
      <c r="R7" s="17"/>
      <c r="S7" s="17"/>
      <c r="T7" s="17"/>
      <c r="U7" s="17"/>
      <c r="V7" s="17"/>
      <c r="W7" s="17"/>
      <c r="X7" s="17"/>
      <c r="Y7" s="17"/>
      <c r="Z7" s="17"/>
      <c r="AA7" s="17"/>
      <c r="AB7" s="16" t="s">
        <v>97</v>
      </c>
      <c r="AC7" s="16"/>
      <c r="AD7" s="26"/>
      <c r="AE7" s="10"/>
      <c r="AF7" s="11"/>
      <c r="AG7" s="11"/>
    </row>
    <row r="8" spans="1:33" ht="15.5" x14ac:dyDescent="0.35">
      <c r="A8" s="20" t="s">
        <v>87</v>
      </c>
      <c r="B8" s="20"/>
      <c r="C8" s="20" t="s">
        <v>95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21" t="s">
        <v>91</v>
      </c>
      <c r="R8" s="17"/>
      <c r="S8" s="17"/>
      <c r="T8" s="17"/>
      <c r="U8" s="17"/>
      <c r="V8" s="17"/>
      <c r="W8" s="17"/>
      <c r="X8" s="17"/>
      <c r="Y8" s="17"/>
      <c r="Z8" s="17"/>
      <c r="AA8" s="17"/>
      <c r="AB8" s="16" t="s">
        <v>98</v>
      </c>
      <c r="AC8" s="16"/>
      <c r="AD8" s="16"/>
      <c r="AE8" s="9"/>
      <c r="AF8" s="8"/>
      <c r="AG8" s="8"/>
    </row>
    <row r="9" spans="1:33" ht="15" customHeight="1" x14ac:dyDescent="0.35">
      <c r="A9" s="56" t="s">
        <v>0</v>
      </c>
      <c r="B9" s="56" t="s">
        <v>52</v>
      </c>
      <c r="C9" s="57" t="s">
        <v>66</v>
      </c>
      <c r="D9" s="57" t="s">
        <v>1</v>
      </c>
      <c r="E9" s="59" t="s">
        <v>56</v>
      </c>
      <c r="F9" s="59"/>
      <c r="G9" s="59"/>
      <c r="H9" s="59"/>
      <c r="I9" s="59"/>
      <c r="J9" s="59"/>
      <c r="K9" s="59"/>
      <c r="L9" s="59"/>
      <c r="M9" s="46" t="s">
        <v>57</v>
      </c>
      <c r="N9" s="48" t="s">
        <v>56</v>
      </c>
      <c r="O9" s="49"/>
      <c r="P9" s="49"/>
      <c r="Q9" s="49"/>
      <c r="R9" s="49"/>
      <c r="S9" s="50"/>
      <c r="T9" s="46" t="s">
        <v>58</v>
      </c>
      <c r="U9" s="48" t="s">
        <v>56</v>
      </c>
      <c r="V9" s="49"/>
      <c r="W9" s="49"/>
      <c r="X9" s="49"/>
      <c r="Y9" s="49"/>
      <c r="Z9" s="49"/>
      <c r="AA9" s="49"/>
      <c r="AB9" s="50"/>
      <c r="AC9" s="46" t="s">
        <v>58</v>
      </c>
      <c r="AD9" s="46" t="s">
        <v>64</v>
      </c>
    </row>
    <row r="10" spans="1:33" ht="20.25" customHeight="1" x14ac:dyDescent="0.35">
      <c r="A10" s="56"/>
      <c r="B10" s="56"/>
      <c r="C10" s="58"/>
      <c r="D10" s="58"/>
      <c r="E10" s="25" t="s">
        <v>53</v>
      </c>
      <c r="F10" s="25" t="s">
        <v>54</v>
      </c>
      <c r="G10" s="25" t="s">
        <v>55</v>
      </c>
      <c r="H10" s="25" t="s">
        <v>60</v>
      </c>
      <c r="I10" s="25" t="s">
        <v>61</v>
      </c>
      <c r="J10" s="25" t="s">
        <v>62</v>
      </c>
      <c r="K10" s="25" t="s">
        <v>63</v>
      </c>
      <c r="L10" s="25" t="s">
        <v>129</v>
      </c>
      <c r="M10" s="47"/>
      <c r="N10" s="25" t="s">
        <v>53</v>
      </c>
      <c r="O10" s="25" t="s">
        <v>54</v>
      </c>
      <c r="P10" s="25" t="s">
        <v>55</v>
      </c>
      <c r="Q10" s="25" t="s">
        <v>60</v>
      </c>
      <c r="R10" s="25" t="s">
        <v>63</v>
      </c>
      <c r="S10" s="25" t="s">
        <v>128</v>
      </c>
      <c r="T10" s="47"/>
      <c r="U10" s="25" t="s">
        <v>53</v>
      </c>
      <c r="V10" s="25" t="s">
        <v>54</v>
      </c>
      <c r="W10" s="25" t="s">
        <v>55</v>
      </c>
      <c r="X10" s="25" t="s">
        <v>60</v>
      </c>
      <c r="Y10" s="25" t="s">
        <v>61</v>
      </c>
      <c r="Z10" s="25" t="s">
        <v>62</v>
      </c>
      <c r="AA10" s="25" t="s">
        <v>63</v>
      </c>
      <c r="AB10" s="25" t="s">
        <v>59</v>
      </c>
      <c r="AC10" s="47"/>
      <c r="AD10" s="47"/>
    </row>
    <row r="11" spans="1:33" ht="15.5" x14ac:dyDescent="0.35">
      <c r="A11" s="22">
        <v>1</v>
      </c>
      <c r="B11" s="23"/>
      <c r="C11" s="23" t="s">
        <v>67</v>
      </c>
      <c r="D11" s="24" t="s">
        <v>100</v>
      </c>
      <c r="E11" s="28">
        <v>8</v>
      </c>
      <c r="F11" s="28">
        <v>8</v>
      </c>
      <c r="G11" s="28">
        <v>9</v>
      </c>
      <c r="H11" s="28">
        <v>8</v>
      </c>
      <c r="I11" s="28">
        <v>8</v>
      </c>
      <c r="J11" s="28">
        <v>5</v>
      </c>
      <c r="K11" s="28">
        <f t="shared" ref="K11:K38" si="0">SUM(E11:J11)</f>
        <v>46</v>
      </c>
      <c r="L11" s="28">
        <v>50</v>
      </c>
      <c r="M11" s="42">
        <f t="shared" ref="M11:M38" si="1">K11+L11</f>
        <v>96</v>
      </c>
      <c r="N11" s="28">
        <v>8</v>
      </c>
      <c r="O11" s="28">
        <v>8</v>
      </c>
      <c r="P11" s="28">
        <v>9</v>
      </c>
      <c r="Q11" s="28">
        <v>25</v>
      </c>
      <c r="R11" s="28">
        <f t="shared" ref="R11:R38" si="2">SUM(N11:Q11)</f>
        <v>50</v>
      </c>
      <c r="S11" s="28">
        <v>50</v>
      </c>
      <c r="T11" s="29">
        <f>R11+S11</f>
        <v>100</v>
      </c>
      <c r="U11" s="28">
        <v>10</v>
      </c>
      <c r="V11" s="28">
        <v>8</v>
      </c>
      <c r="W11" s="28">
        <v>7</v>
      </c>
      <c r="X11" s="28">
        <v>6</v>
      </c>
      <c r="Y11" s="28">
        <v>6</v>
      </c>
      <c r="Z11" s="28">
        <v>13</v>
      </c>
      <c r="AA11" s="28">
        <f>Z11+Y11+X11+W11+V11+U11</f>
        <v>50</v>
      </c>
      <c r="AB11" s="28">
        <v>50</v>
      </c>
      <c r="AC11" s="29">
        <f>AB11+AA11</f>
        <v>100</v>
      </c>
      <c r="AD11" s="29">
        <f>(AC11+T11+M11)/3</f>
        <v>98.666666666666671</v>
      </c>
    </row>
    <row r="12" spans="1:33" ht="15.5" x14ac:dyDescent="0.35">
      <c r="A12" s="22">
        <v>2</v>
      </c>
      <c r="B12" s="23"/>
      <c r="C12" s="23" t="s">
        <v>67</v>
      </c>
      <c r="D12" s="24" t="s">
        <v>101</v>
      </c>
      <c r="E12" s="28">
        <v>8</v>
      </c>
      <c r="F12" s="43">
        <v>8</v>
      </c>
      <c r="G12" s="28">
        <v>9</v>
      </c>
      <c r="H12" s="28">
        <v>8</v>
      </c>
      <c r="I12" s="28">
        <v>10</v>
      </c>
      <c r="J12" s="28">
        <v>7</v>
      </c>
      <c r="K12" s="28">
        <f t="shared" si="0"/>
        <v>50</v>
      </c>
      <c r="L12" s="28">
        <v>40</v>
      </c>
      <c r="M12" s="42">
        <f t="shared" si="1"/>
        <v>90</v>
      </c>
      <c r="N12" s="28">
        <v>8</v>
      </c>
      <c r="O12" s="28">
        <v>8</v>
      </c>
      <c r="P12" s="28">
        <v>9</v>
      </c>
      <c r="Q12" s="28">
        <v>15</v>
      </c>
      <c r="R12" s="28">
        <f t="shared" si="2"/>
        <v>40</v>
      </c>
      <c r="S12" s="28">
        <v>38</v>
      </c>
      <c r="T12" s="29">
        <f t="shared" ref="T12:T38" si="3">R12+S12</f>
        <v>78</v>
      </c>
      <c r="U12" s="28">
        <v>0</v>
      </c>
      <c r="V12" s="28">
        <v>0</v>
      </c>
      <c r="W12" s="28">
        <v>0</v>
      </c>
      <c r="X12" s="28">
        <v>6</v>
      </c>
      <c r="Y12" s="28">
        <v>6</v>
      </c>
      <c r="Z12" s="28">
        <v>13</v>
      </c>
      <c r="AA12" s="28">
        <f t="shared" ref="AA12:AA38" si="4">Z12+Y12+X12+W12+V12+U12</f>
        <v>25</v>
      </c>
      <c r="AB12" s="28">
        <v>50</v>
      </c>
      <c r="AC12" s="29">
        <f t="shared" ref="AC12:AC38" si="5">AB12+AA12</f>
        <v>75</v>
      </c>
      <c r="AD12" s="29">
        <f t="shared" ref="AD12:AD38" si="6">(AC12+T12+M12)/3</f>
        <v>81</v>
      </c>
    </row>
    <row r="13" spans="1:33" ht="15.5" x14ac:dyDescent="0.35">
      <c r="A13" s="22">
        <v>3</v>
      </c>
      <c r="B13" s="23" t="s">
        <v>130</v>
      </c>
      <c r="C13" s="23" t="s">
        <v>68</v>
      </c>
      <c r="D13" s="24" t="s">
        <v>102</v>
      </c>
      <c r="E13" s="28">
        <v>8</v>
      </c>
      <c r="F13" s="28">
        <v>8</v>
      </c>
      <c r="G13" s="28">
        <v>9</v>
      </c>
      <c r="H13" s="28">
        <v>8</v>
      </c>
      <c r="I13" s="28">
        <v>10</v>
      </c>
      <c r="J13" s="28">
        <v>7</v>
      </c>
      <c r="K13" s="28">
        <f t="shared" si="0"/>
        <v>50</v>
      </c>
      <c r="L13" s="28">
        <v>50</v>
      </c>
      <c r="M13" s="42">
        <f t="shared" si="1"/>
        <v>100</v>
      </c>
      <c r="N13" s="28">
        <v>8</v>
      </c>
      <c r="O13" s="28">
        <v>8</v>
      </c>
      <c r="P13" s="28">
        <v>9</v>
      </c>
      <c r="Q13" s="28">
        <v>25</v>
      </c>
      <c r="R13" s="28">
        <f t="shared" si="2"/>
        <v>50</v>
      </c>
      <c r="S13" s="28">
        <v>50</v>
      </c>
      <c r="T13" s="29">
        <f t="shared" si="3"/>
        <v>100</v>
      </c>
      <c r="U13" s="28">
        <v>10</v>
      </c>
      <c r="V13" s="28">
        <v>8</v>
      </c>
      <c r="W13" s="28">
        <v>7</v>
      </c>
      <c r="X13" s="28">
        <v>6</v>
      </c>
      <c r="Y13" s="28">
        <v>6</v>
      </c>
      <c r="Z13" s="28">
        <v>13</v>
      </c>
      <c r="AA13" s="28">
        <f t="shared" si="4"/>
        <v>50</v>
      </c>
      <c r="AB13" s="28">
        <v>49</v>
      </c>
      <c r="AC13" s="29">
        <f t="shared" si="5"/>
        <v>99</v>
      </c>
      <c r="AD13" s="29">
        <f t="shared" si="6"/>
        <v>99.666666666666671</v>
      </c>
    </row>
    <row r="14" spans="1:33" ht="15.5" x14ac:dyDescent="0.35">
      <c r="A14" s="22">
        <v>4</v>
      </c>
      <c r="B14" s="23"/>
      <c r="C14" s="23" t="s">
        <v>68</v>
      </c>
      <c r="D14" s="24" t="s">
        <v>103</v>
      </c>
      <c r="E14" s="28">
        <v>8</v>
      </c>
      <c r="F14" s="28">
        <v>8</v>
      </c>
      <c r="G14" s="28">
        <v>9</v>
      </c>
      <c r="H14" s="28">
        <v>8</v>
      </c>
      <c r="I14" s="28">
        <v>10</v>
      </c>
      <c r="J14" s="28">
        <v>5</v>
      </c>
      <c r="K14" s="28">
        <f t="shared" si="0"/>
        <v>48</v>
      </c>
      <c r="L14" s="28">
        <v>48</v>
      </c>
      <c r="M14" s="42">
        <f t="shared" si="1"/>
        <v>96</v>
      </c>
      <c r="N14" s="28">
        <v>8</v>
      </c>
      <c r="O14" s="28">
        <v>8</v>
      </c>
      <c r="P14" s="28">
        <v>9</v>
      </c>
      <c r="Q14" s="28">
        <v>18</v>
      </c>
      <c r="R14" s="28">
        <f t="shared" si="2"/>
        <v>43</v>
      </c>
      <c r="S14" s="28">
        <v>43</v>
      </c>
      <c r="T14" s="29">
        <f t="shared" si="3"/>
        <v>86</v>
      </c>
      <c r="U14" s="28">
        <v>10</v>
      </c>
      <c r="V14" s="28">
        <v>8</v>
      </c>
      <c r="W14" s="28">
        <v>7</v>
      </c>
      <c r="X14" s="28">
        <v>6</v>
      </c>
      <c r="Y14" s="28">
        <v>6</v>
      </c>
      <c r="Z14" s="28">
        <v>13</v>
      </c>
      <c r="AA14" s="28">
        <f t="shared" si="4"/>
        <v>50</v>
      </c>
      <c r="AB14" s="28">
        <v>50</v>
      </c>
      <c r="AC14" s="29">
        <f t="shared" si="5"/>
        <v>100</v>
      </c>
      <c r="AD14" s="29">
        <f t="shared" si="6"/>
        <v>94</v>
      </c>
    </row>
    <row r="15" spans="1:33" ht="15.5" x14ac:dyDescent="0.35">
      <c r="A15" s="22"/>
      <c r="B15" s="23"/>
      <c r="C15" s="23" t="s">
        <v>68</v>
      </c>
      <c r="D15" s="24" t="s">
        <v>125</v>
      </c>
      <c r="E15" s="28">
        <v>8</v>
      </c>
      <c r="F15" s="28">
        <v>8</v>
      </c>
      <c r="G15" s="28">
        <v>9</v>
      </c>
      <c r="H15" s="28">
        <v>8</v>
      </c>
      <c r="I15" s="28">
        <v>10</v>
      </c>
      <c r="J15" s="28">
        <v>5</v>
      </c>
      <c r="K15" s="28">
        <f t="shared" si="0"/>
        <v>48</v>
      </c>
      <c r="L15" s="28">
        <v>50</v>
      </c>
      <c r="M15" s="42">
        <f t="shared" si="1"/>
        <v>98</v>
      </c>
      <c r="N15" s="28">
        <v>8</v>
      </c>
      <c r="O15" s="28">
        <v>8</v>
      </c>
      <c r="P15" s="28">
        <v>9</v>
      </c>
      <c r="Q15" s="28">
        <v>25</v>
      </c>
      <c r="R15" s="28">
        <f t="shared" si="2"/>
        <v>50</v>
      </c>
      <c r="S15" s="28">
        <v>50</v>
      </c>
      <c r="T15" s="29">
        <f t="shared" si="3"/>
        <v>100</v>
      </c>
      <c r="U15" s="28">
        <v>10</v>
      </c>
      <c r="V15" s="28">
        <v>8</v>
      </c>
      <c r="W15" s="28">
        <v>7</v>
      </c>
      <c r="X15" s="28">
        <v>6</v>
      </c>
      <c r="Y15" s="28">
        <v>6</v>
      </c>
      <c r="Z15" s="28">
        <v>13</v>
      </c>
      <c r="AA15" s="28">
        <f t="shared" si="4"/>
        <v>50</v>
      </c>
      <c r="AB15" s="28">
        <v>50</v>
      </c>
      <c r="AC15" s="29">
        <f t="shared" si="5"/>
        <v>100</v>
      </c>
      <c r="AD15" s="29">
        <f t="shared" si="6"/>
        <v>99.333333333333329</v>
      </c>
    </row>
    <row r="16" spans="1:33" ht="15.5" x14ac:dyDescent="0.35">
      <c r="A16" s="22">
        <v>5</v>
      </c>
      <c r="B16" s="23"/>
      <c r="C16" s="23" t="s">
        <v>67</v>
      </c>
      <c r="D16" s="24" t="s">
        <v>104</v>
      </c>
      <c r="E16" s="28">
        <v>8</v>
      </c>
      <c r="F16" s="28">
        <v>8</v>
      </c>
      <c r="G16" s="28">
        <v>9</v>
      </c>
      <c r="H16" s="28">
        <v>8</v>
      </c>
      <c r="I16" s="28">
        <v>10</v>
      </c>
      <c r="J16" s="28">
        <v>7</v>
      </c>
      <c r="K16" s="28">
        <f t="shared" si="0"/>
        <v>50</v>
      </c>
      <c r="L16" s="28">
        <v>45</v>
      </c>
      <c r="M16" s="42">
        <f t="shared" si="1"/>
        <v>95</v>
      </c>
      <c r="N16" s="28">
        <v>8</v>
      </c>
      <c r="O16" s="28">
        <v>8</v>
      </c>
      <c r="P16" s="28">
        <v>9</v>
      </c>
      <c r="Q16" s="28">
        <v>23</v>
      </c>
      <c r="R16" s="28">
        <f t="shared" si="2"/>
        <v>48</v>
      </c>
      <c r="S16" s="28">
        <v>48</v>
      </c>
      <c r="T16" s="29">
        <f t="shared" si="3"/>
        <v>96</v>
      </c>
      <c r="U16" s="28">
        <v>10</v>
      </c>
      <c r="V16" s="28">
        <v>8</v>
      </c>
      <c r="W16" s="28">
        <v>7</v>
      </c>
      <c r="X16" s="28">
        <v>6</v>
      </c>
      <c r="Y16" s="28">
        <v>6</v>
      </c>
      <c r="Z16" s="28">
        <v>13</v>
      </c>
      <c r="AA16" s="28">
        <f t="shared" si="4"/>
        <v>50</v>
      </c>
      <c r="AB16" s="28">
        <v>49</v>
      </c>
      <c r="AC16" s="29">
        <f t="shared" si="5"/>
        <v>99</v>
      </c>
      <c r="AD16" s="29">
        <f t="shared" si="6"/>
        <v>96.666666666666671</v>
      </c>
    </row>
    <row r="17" spans="1:30" ht="15.5" x14ac:dyDescent="0.35">
      <c r="A17" s="22">
        <v>6</v>
      </c>
      <c r="B17" s="23"/>
      <c r="C17" s="23" t="s">
        <v>67</v>
      </c>
      <c r="D17" s="24" t="s">
        <v>127</v>
      </c>
      <c r="E17" s="28">
        <v>8</v>
      </c>
      <c r="F17" s="28">
        <v>8</v>
      </c>
      <c r="G17" s="28">
        <v>9</v>
      </c>
      <c r="H17" s="28">
        <v>7</v>
      </c>
      <c r="I17" s="28">
        <v>7</v>
      </c>
      <c r="J17" s="28">
        <v>5</v>
      </c>
      <c r="K17" s="28">
        <f t="shared" si="0"/>
        <v>44</v>
      </c>
      <c r="L17" s="28">
        <v>40</v>
      </c>
      <c r="M17" s="42">
        <f t="shared" si="1"/>
        <v>84</v>
      </c>
      <c r="N17" s="28">
        <v>8</v>
      </c>
      <c r="O17" s="28">
        <v>8</v>
      </c>
      <c r="P17" s="28">
        <v>9</v>
      </c>
      <c r="Q17" s="28">
        <v>25</v>
      </c>
      <c r="R17" s="28">
        <f t="shared" si="2"/>
        <v>50</v>
      </c>
      <c r="S17" s="28">
        <v>35</v>
      </c>
      <c r="T17" s="29">
        <f t="shared" si="3"/>
        <v>85</v>
      </c>
      <c r="U17" s="28">
        <v>10</v>
      </c>
      <c r="V17" s="28">
        <v>8</v>
      </c>
      <c r="W17" s="28">
        <v>7</v>
      </c>
      <c r="X17" s="28">
        <v>6</v>
      </c>
      <c r="Y17" s="28">
        <v>6</v>
      </c>
      <c r="Z17" s="28">
        <v>13</v>
      </c>
      <c r="AA17" s="28">
        <f t="shared" si="4"/>
        <v>50</v>
      </c>
      <c r="AB17" s="28">
        <v>41</v>
      </c>
      <c r="AC17" s="29">
        <f t="shared" si="5"/>
        <v>91</v>
      </c>
      <c r="AD17" s="29">
        <f t="shared" si="6"/>
        <v>86.666666666666671</v>
      </c>
    </row>
    <row r="18" spans="1:30" ht="15.5" x14ac:dyDescent="0.35">
      <c r="A18" s="22">
        <v>7</v>
      </c>
      <c r="B18" s="23"/>
      <c r="C18" s="23" t="s">
        <v>67</v>
      </c>
      <c r="D18" s="44" t="s">
        <v>105</v>
      </c>
      <c r="E18" s="28">
        <v>8</v>
      </c>
      <c r="F18" s="28">
        <v>8</v>
      </c>
      <c r="G18" s="28">
        <v>9</v>
      </c>
      <c r="H18" s="28">
        <v>7</v>
      </c>
      <c r="I18" s="28">
        <v>10</v>
      </c>
      <c r="J18" s="28">
        <v>5</v>
      </c>
      <c r="K18" s="28">
        <f t="shared" si="0"/>
        <v>47</v>
      </c>
      <c r="L18" s="28">
        <v>50</v>
      </c>
      <c r="M18" s="42">
        <f t="shared" si="1"/>
        <v>97</v>
      </c>
      <c r="N18" s="28">
        <v>8</v>
      </c>
      <c r="O18" s="28">
        <v>8</v>
      </c>
      <c r="P18" s="28">
        <v>9</v>
      </c>
      <c r="Q18" s="28">
        <v>25</v>
      </c>
      <c r="R18" s="28">
        <f t="shared" si="2"/>
        <v>50</v>
      </c>
      <c r="S18" s="28">
        <v>40</v>
      </c>
      <c r="T18" s="29">
        <f t="shared" si="3"/>
        <v>90</v>
      </c>
      <c r="U18" s="28">
        <v>9</v>
      </c>
      <c r="V18" s="28">
        <v>8</v>
      </c>
      <c r="W18" s="28">
        <v>7</v>
      </c>
      <c r="X18" s="28">
        <v>6</v>
      </c>
      <c r="Y18" s="28">
        <v>6</v>
      </c>
      <c r="Z18" s="28">
        <v>13</v>
      </c>
      <c r="AA18" s="28">
        <f t="shared" si="4"/>
        <v>49</v>
      </c>
      <c r="AB18" s="28">
        <v>45</v>
      </c>
      <c r="AC18" s="29">
        <f t="shared" si="5"/>
        <v>94</v>
      </c>
      <c r="AD18" s="29">
        <f t="shared" si="6"/>
        <v>93.666666666666671</v>
      </c>
    </row>
    <row r="19" spans="1:30" ht="15.5" x14ac:dyDescent="0.35">
      <c r="A19" s="22">
        <v>8</v>
      </c>
      <c r="B19" s="23"/>
      <c r="C19" s="23" t="s">
        <v>67</v>
      </c>
      <c r="D19" s="24" t="s">
        <v>106</v>
      </c>
      <c r="E19" s="28">
        <v>8</v>
      </c>
      <c r="F19" s="28">
        <v>8</v>
      </c>
      <c r="G19" s="28">
        <v>9</v>
      </c>
      <c r="H19" s="28">
        <v>8</v>
      </c>
      <c r="I19" s="28">
        <v>10</v>
      </c>
      <c r="J19" s="28">
        <v>7</v>
      </c>
      <c r="K19" s="28">
        <f t="shared" si="0"/>
        <v>50</v>
      </c>
      <c r="L19" s="28">
        <v>50</v>
      </c>
      <c r="M19" s="42">
        <f t="shared" si="1"/>
        <v>100</v>
      </c>
      <c r="N19" s="28">
        <v>8</v>
      </c>
      <c r="O19" s="28">
        <v>8</v>
      </c>
      <c r="P19" s="28">
        <v>9</v>
      </c>
      <c r="Q19" s="28">
        <v>25</v>
      </c>
      <c r="R19" s="28">
        <f t="shared" si="2"/>
        <v>50</v>
      </c>
      <c r="S19" s="28">
        <v>50</v>
      </c>
      <c r="T19" s="29">
        <f t="shared" si="3"/>
        <v>100</v>
      </c>
      <c r="U19" s="28">
        <v>10</v>
      </c>
      <c r="V19" s="28">
        <v>8</v>
      </c>
      <c r="W19" s="28">
        <v>7</v>
      </c>
      <c r="X19" s="28">
        <v>6</v>
      </c>
      <c r="Y19" s="28">
        <v>6</v>
      </c>
      <c r="Z19" s="28">
        <v>13</v>
      </c>
      <c r="AA19" s="28">
        <f t="shared" si="4"/>
        <v>50</v>
      </c>
      <c r="AB19" s="28">
        <v>45</v>
      </c>
      <c r="AC19" s="29">
        <f t="shared" si="5"/>
        <v>95</v>
      </c>
      <c r="AD19" s="29">
        <f t="shared" si="6"/>
        <v>98.333333333333329</v>
      </c>
    </row>
    <row r="20" spans="1:30" ht="15.5" x14ac:dyDescent="0.35">
      <c r="A20" s="22">
        <v>9</v>
      </c>
      <c r="B20" s="23"/>
      <c r="C20" s="23" t="s">
        <v>67</v>
      </c>
      <c r="D20" s="24" t="s">
        <v>107</v>
      </c>
      <c r="E20" s="28">
        <v>8</v>
      </c>
      <c r="F20" s="28">
        <v>8</v>
      </c>
      <c r="G20" s="28">
        <v>9</v>
      </c>
      <c r="H20" s="28">
        <v>6</v>
      </c>
      <c r="I20" s="28">
        <v>10</v>
      </c>
      <c r="J20" s="28">
        <v>6</v>
      </c>
      <c r="K20" s="28">
        <f t="shared" si="0"/>
        <v>47</v>
      </c>
      <c r="L20" s="28">
        <v>25</v>
      </c>
      <c r="M20" s="42">
        <f t="shared" si="1"/>
        <v>72</v>
      </c>
      <c r="N20" s="28">
        <v>8</v>
      </c>
      <c r="O20" s="28">
        <v>8</v>
      </c>
      <c r="P20" s="28">
        <v>9</v>
      </c>
      <c r="Q20" s="28">
        <v>25</v>
      </c>
      <c r="R20" s="28">
        <f t="shared" si="2"/>
        <v>50</v>
      </c>
      <c r="S20" s="28">
        <v>50</v>
      </c>
      <c r="T20" s="29">
        <f t="shared" si="3"/>
        <v>100</v>
      </c>
      <c r="U20" s="28">
        <v>10</v>
      </c>
      <c r="V20" s="28">
        <v>8</v>
      </c>
      <c r="W20" s="28">
        <v>7</v>
      </c>
      <c r="X20" s="28">
        <v>6</v>
      </c>
      <c r="Y20" s="28">
        <v>6</v>
      </c>
      <c r="Z20" s="28">
        <v>13</v>
      </c>
      <c r="AA20" s="28">
        <f t="shared" si="4"/>
        <v>50</v>
      </c>
      <c r="AB20" s="28">
        <v>45</v>
      </c>
      <c r="AC20" s="29">
        <f t="shared" si="5"/>
        <v>95</v>
      </c>
      <c r="AD20" s="29">
        <f t="shared" si="6"/>
        <v>89</v>
      </c>
    </row>
    <row r="21" spans="1:30" ht="17.25" customHeight="1" x14ac:dyDescent="0.35">
      <c r="A21" s="22">
        <v>10</v>
      </c>
      <c r="B21" s="23"/>
      <c r="C21" s="23" t="s">
        <v>67</v>
      </c>
      <c r="D21" s="24" t="s">
        <v>108</v>
      </c>
      <c r="E21" s="28">
        <v>8</v>
      </c>
      <c r="F21" s="28">
        <v>8</v>
      </c>
      <c r="G21" s="28">
        <v>9</v>
      </c>
      <c r="H21" s="28">
        <v>6</v>
      </c>
      <c r="I21" s="28">
        <v>8</v>
      </c>
      <c r="J21" s="28">
        <v>7</v>
      </c>
      <c r="K21" s="28">
        <f t="shared" si="0"/>
        <v>46</v>
      </c>
      <c r="L21" s="28">
        <v>43</v>
      </c>
      <c r="M21" s="42">
        <f t="shared" si="1"/>
        <v>89</v>
      </c>
      <c r="N21" s="28">
        <v>8</v>
      </c>
      <c r="O21" s="28">
        <v>8</v>
      </c>
      <c r="P21" s="28">
        <v>9</v>
      </c>
      <c r="Q21" s="28">
        <v>20</v>
      </c>
      <c r="R21" s="28">
        <f t="shared" si="2"/>
        <v>45</v>
      </c>
      <c r="S21" s="28">
        <v>45</v>
      </c>
      <c r="T21" s="29">
        <f t="shared" si="3"/>
        <v>90</v>
      </c>
      <c r="U21" s="28">
        <v>10</v>
      </c>
      <c r="V21" s="28">
        <v>8</v>
      </c>
      <c r="W21" s="28">
        <v>7</v>
      </c>
      <c r="X21" s="28">
        <v>6</v>
      </c>
      <c r="Y21" s="28">
        <v>6</v>
      </c>
      <c r="Z21" s="28">
        <v>13</v>
      </c>
      <c r="AA21" s="28">
        <f t="shared" si="4"/>
        <v>50</v>
      </c>
      <c r="AB21" s="28">
        <v>50</v>
      </c>
      <c r="AC21" s="29">
        <f t="shared" si="5"/>
        <v>100</v>
      </c>
      <c r="AD21" s="29">
        <f t="shared" si="6"/>
        <v>93</v>
      </c>
    </row>
    <row r="22" spans="1:30" ht="15.5" x14ac:dyDescent="0.35">
      <c r="A22" s="22">
        <v>11</v>
      </c>
      <c r="B22" s="23"/>
      <c r="C22" s="23" t="s">
        <v>67</v>
      </c>
      <c r="D22" s="24" t="s">
        <v>109</v>
      </c>
      <c r="E22" s="28">
        <v>8</v>
      </c>
      <c r="F22" s="28">
        <v>8</v>
      </c>
      <c r="G22" s="28">
        <v>9</v>
      </c>
      <c r="H22" s="28">
        <v>8</v>
      </c>
      <c r="I22" s="28">
        <v>8</v>
      </c>
      <c r="J22" s="28">
        <v>4</v>
      </c>
      <c r="K22" s="28">
        <f t="shared" si="0"/>
        <v>45</v>
      </c>
      <c r="L22" s="28">
        <v>38</v>
      </c>
      <c r="M22" s="42">
        <f t="shared" si="1"/>
        <v>83</v>
      </c>
      <c r="N22" s="28">
        <v>8</v>
      </c>
      <c r="O22" s="28">
        <v>8</v>
      </c>
      <c r="P22" s="28">
        <v>9</v>
      </c>
      <c r="Q22" s="28">
        <v>20</v>
      </c>
      <c r="R22" s="28">
        <f t="shared" si="2"/>
        <v>45</v>
      </c>
      <c r="S22" s="28">
        <v>45</v>
      </c>
      <c r="T22" s="29">
        <f t="shared" si="3"/>
        <v>90</v>
      </c>
      <c r="U22" s="28">
        <v>10</v>
      </c>
      <c r="V22" s="28">
        <v>8</v>
      </c>
      <c r="W22" s="28">
        <v>7</v>
      </c>
      <c r="X22" s="28">
        <v>6</v>
      </c>
      <c r="Y22" s="28">
        <v>6</v>
      </c>
      <c r="Z22" s="28">
        <v>13</v>
      </c>
      <c r="AA22" s="28">
        <f t="shared" si="4"/>
        <v>50</v>
      </c>
      <c r="AB22" s="28">
        <v>50</v>
      </c>
      <c r="AC22" s="29">
        <f t="shared" si="5"/>
        <v>100</v>
      </c>
      <c r="AD22" s="29">
        <f t="shared" si="6"/>
        <v>91</v>
      </c>
    </row>
    <row r="23" spans="1:30" ht="15.5" x14ac:dyDescent="0.35">
      <c r="A23" s="22">
        <v>12</v>
      </c>
      <c r="B23" s="23"/>
      <c r="C23" s="23" t="s">
        <v>68</v>
      </c>
      <c r="D23" s="24" t="s">
        <v>110</v>
      </c>
      <c r="E23" s="28">
        <v>8</v>
      </c>
      <c r="F23" s="28">
        <v>8</v>
      </c>
      <c r="G23" s="28">
        <v>9</v>
      </c>
      <c r="H23" s="28">
        <v>7</v>
      </c>
      <c r="I23" s="28">
        <v>10</v>
      </c>
      <c r="J23" s="28">
        <v>7</v>
      </c>
      <c r="K23" s="28">
        <f t="shared" si="0"/>
        <v>49</v>
      </c>
      <c r="L23" s="28">
        <v>48</v>
      </c>
      <c r="M23" s="42">
        <f t="shared" si="1"/>
        <v>97</v>
      </c>
      <c r="N23" s="28">
        <v>8</v>
      </c>
      <c r="O23" s="28">
        <v>8</v>
      </c>
      <c r="P23" s="28">
        <v>9</v>
      </c>
      <c r="Q23" s="28">
        <v>23</v>
      </c>
      <c r="R23" s="28">
        <f t="shared" si="2"/>
        <v>48</v>
      </c>
      <c r="S23" s="28">
        <v>48</v>
      </c>
      <c r="T23" s="29">
        <f t="shared" si="3"/>
        <v>96</v>
      </c>
      <c r="U23" s="28">
        <v>10</v>
      </c>
      <c r="V23" s="28">
        <v>8</v>
      </c>
      <c r="W23" s="28">
        <v>7</v>
      </c>
      <c r="X23" s="28">
        <v>6</v>
      </c>
      <c r="Y23" s="28">
        <v>6</v>
      </c>
      <c r="Z23" s="28">
        <v>13</v>
      </c>
      <c r="AA23" s="28">
        <f t="shared" si="4"/>
        <v>50</v>
      </c>
      <c r="AB23" s="28">
        <v>50</v>
      </c>
      <c r="AC23" s="29">
        <f t="shared" si="5"/>
        <v>100</v>
      </c>
      <c r="AD23" s="29">
        <f t="shared" si="6"/>
        <v>97.666666666666671</v>
      </c>
    </row>
    <row r="24" spans="1:30" ht="15.5" x14ac:dyDescent="0.35">
      <c r="A24" s="22">
        <v>13</v>
      </c>
      <c r="B24" s="23"/>
      <c r="C24" s="23" t="s">
        <v>67</v>
      </c>
      <c r="D24" s="45" t="s">
        <v>111</v>
      </c>
      <c r="E24" s="28">
        <v>8</v>
      </c>
      <c r="F24" s="28">
        <v>8</v>
      </c>
      <c r="G24" s="28">
        <v>9</v>
      </c>
      <c r="H24" s="28">
        <v>8</v>
      </c>
      <c r="I24" s="28">
        <v>10</v>
      </c>
      <c r="J24" s="28">
        <v>7</v>
      </c>
      <c r="K24" s="28">
        <f t="shared" si="0"/>
        <v>50</v>
      </c>
      <c r="L24" s="28">
        <v>45</v>
      </c>
      <c r="M24" s="42">
        <f t="shared" si="1"/>
        <v>95</v>
      </c>
      <c r="N24" s="28">
        <v>8</v>
      </c>
      <c r="O24" s="28">
        <v>8</v>
      </c>
      <c r="P24" s="28">
        <v>9</v>
      </c>
      <c r="Q24" s="28">
        <v>10</v>
      </c>
      <c r="R24" s="28">
        <f t="shared" si="2"/>
        <v>35</v>
      </c>
      <c r="S24" s="28">
        <v>35</v>
      </c>
      <c r="T24" s="29">
        <f t="shared" si="3"/>
        <v>70</v>
      </c>
      <c r="U24" s="28">
        <v>9</v>
      </c>
      <c r="V24" s="28">
        <v>8</v>
      </c>
      <c r="W24" s="28">
        <v>7</v>
      </c>
      <c r="X24" s="28">
        <v>6</v>
      </c>
      <c r="Y24" s="28">
        <v>6</v>
      </c>
      <c r="Z24" s="28">
        <v>13</v>
      </c>
      <c r="AA24" s="28">
        <f t="shared" si="4"/>
        <v>49</v>
      </c>
      <c r="AB24" s="28">
        <v>45</v>
      </c>
      <c r="AC24" s="29">
        <f t="shared" si="5"/>
        <v>94</v>
      </c>
      <c r="AD24" s="29">
        <f t="shared" si="6"/>
        <v>86.333333333333329</v>
      </c>
    </row>
    <row r="25" spans="1:30" ht="15.5" x14ac:dyDescent="0.35">
      <c r="A25" s="22">
        <v>14</v>
      </c>
      <c r="B25" s="23"/>
      <c r="C25" s="23" t="s">
        <v>67</v>
      </c>
      <c r="D25" s="24" t="s">
        <v>112</v>
      </c>
      <c r="E25" s="28">
        <v>8</v>
      </c>
      <c r="F25" s="28">
        <v>8</v>
      </c>
      <c r="G25" s="28">
        <v>9</v>
      </c>
      <c r="H25" s="28">
        <v>8</v>
      </c>
      <c r="I25" s="28">
        <v>10</v>
      </c>
      <c r="J25" s="28">
        <v>6</v>
      </c>
      <c r="K25" s="28">
        <f t="shared" si="0"/>
        <v>49</v>
      </c>
      <c r="L25" s="28">
        <v>48</v>
      </c>
      <c r="M25" s="42">
        <f t="shared" si="1"/>
        <v>97</v>
      </c>
      <c r="N25" s="28">
        <v>8</v>
      </c>
      <c r="O25" s="28">
        <v>8</v>
      </c>
      <c r="P25" s="28">
        <v>9</v>
      </c>
      <c r="Q25" s="28">
        <v>25</v>
      </c>
      <c r="R25" s="28">
        <f t="shared" si="2"/>
        <v>50</v>
      </c>
      <c r="S25" s="28">
        <v>45</v>
      </c>
      <c r="T25" s="29">
        <f t="shared" si="3"/>
        <v>95</v>
      </c>
      <c r="U25" s="28">
        <v>10</v>
      </c>
      <c r="V25" s="28">
        <v>8</v>
      </c>
      <c r="W25" s="28">
        <v>7</v>
      </c>
      <c r="X25" s="28">
        <v>6</v>
      </c>
      <c r="Y25" s="28">
        <v>6</v>
      </c>
      <c r="Z25" s="28">
        <v>13</v>
      </c>
      <c r="AA25" s="28">
        <f t="shared" si="4"/>
        <v>50</v>
      </c>
      <c r="AB25" s="28">
        <v>45</v>
      </c>
      <c r="AC25" s="29">
        <f t="shared" si="5"/>
        <v>95</v>
      </c>
      <c r="AD25" s="29">
        <f t="shared" si="6"/>
        <v>95.666666666666671</v>
      </c>
    </row>
    <row r="26" spans="1:30" ht="15.5" x14ac:dyDescent="0.35">
      <c r="A26" s="22">
        <v>15</v>
      </c>
      <c r="B26" s="23"/>
      <c r="C26" s="23" t="s">
        <v>67</v>
      </c>
      <c r="D26" s="24" t="s">
        <v>113</v>
      </c>
      <c r="E26" s="28">
        <v>8</v>
      </c>
      <c r="F26" s="28">
        <v>8</v>
      </c>
      <c r="G26" s="28">
        <v>9</v>
      </c>
      <c r="H26" s="28">
        <v>7</v>
      </c>
      <c r="I26" s="28">
        <v>7</v>
      </c>
      <c r="J26" s="28">
        <v>5</v>
      </c>
      <c r="K26" s="28">
        <f t="shared" si="0"/>
        <v>44</v>
      </c>
      <c r="L26" s="28">
        <v>48</v>
      </c>
      <c r="M26" s="42">
        <f t="shared" si="1"/>
        <v>92</v>
      </c>
      <c r="N26" s="28">
        <v>8</v>
      </c>
      <c r="O26" s="28">
        <v>8</v>
      </c>
      <c r="P26" s="28">
        <v>9</v>
      </c>
      <c r="Q26" s="28">
        <v>20</v>
      </c>
      <c r="R26" s="28">
        <f t="shared" si="2"/>
        <v>45</v>
      </c>
      <c r="S26" s="28">
        <v>45</v>
      </c>
      <c r="T26" s="29">
        <f t="shared" si="3"/>
        <v>90</v>
      </c>
      <c r="U26" s="28">
        <v>9</v>
      </c>
      <c r="V26" s="28">
        <v>8</v>
      </c>
      <c r="W26" s="28">
        <v>7</v>
      </c>
      <c r="X26" s="28">
        <v>6</v>
      </c>
      <c r="Y26" s="28">
        <v>6</v>
      </c>
      <c r="Z26" s="28">
        <v>13</v>
      </c>
      <c r="AA26" s="28">
        <f t="shared" si="4"/>
        <v>49</v>
      </c>
      <c r="AB26" s="28">
        <v>49</v>
      </c>
      <c r="AC26" s="29">
        <f t="shared" si="5"/>
        <v>98</v>
      </c>
      <c r="AD26" s="29">
        <f t="shared" si="6"/>
        <v>93.333333333333329</v>
      </c>
    </row>
    <row r="27" spans="1:30" ht="15.5" x14ac:dyDescent="0.35">
      <c r="A27" s="22"/>
      <c r="B27" s="23"/>
      <c r="C27" s="23" t="s">
        <v>67</v>
      </c>
      <c r="D27" s="24" t="s">
        <v>124</v>
      </c>
      <c r="E27" s="28">
        <v>8</v>
      </c>
      <c r="F27" s="28">
        <v>8</v>
      </c>
      <c r="G27" s="28">
        <v>9</v>
      </c>
      <c r="H27" s="28">
        <v>8</v>
      </c>
      <c r="I27" s="28">
        <v>9</v>
      </c>
      <c r="J27" s="28">
        <v>5</v>
      </c>
      <c r="K27" s="28">
        <f t="shared" si="0"/>
        <v>47</v>
      </c>
      <c r="L27" s="28">
        <v>48</v>
      </c>
      <c r="M27" s="42">
        <f t="shared" si="1"/>
        <v>95</v>
      </c>
      <c r="N27" s="28">
        <v>8</v>
      </c>
      <c r="O27" s="28">
        <v>8</v>
      </c>
      <c r="P27" s="28">
        <v>9</v>
      </c>
      <c r="Q27" s="28">
        <v>25</v>
      </c>
      <c r="R27" s="28">
        <f t="shared" si="2"/>
        <v>50</v>
      </c>
      <c r="S27" s="28">
        <v>50</v>
      </c>
      <c r="T27" s="29">
        <f t="shared" si="3"/>
        <v>100</v>
      </c>
      <c r="U27" s="28">
        <v>9</v>
      </c>
      <c r="V27" s="28">
        <v>8</v>
      </c>
      <c r="W27" s="28">
        <v>7</v>
      </c>
      <c r="X27" s="28">
        <v>6</v>
      </c>
      <c r="Y27" s="28">
        <v>6</v>
      </c>
      <c r="Z27" s="28">
        <v>13</v>
      </c>
      <c r="AA27" s="28">
        <f t="shared" si="4"/>
        <v>49</v>
      </c>
      <c r="AB27" s="28">
        <v>45</v>
      </c>
      <c r="AC27" s="29">
        <f t="shared" si="5"/>
        <v>94</v>
      </c>
      <c r="AD27" s="29">
        <f t="shared" si="6"/>
        <v>96.333333333333329</v>
      </c>
    </row>
    <row r="28" spans="1:30" ht="15.5" x14ac:dyDescent="0.35">
      <c r="A28" s="22">
        <v>16</v>
      </c>
      <c r="B28" s="23"/>
      <c r="C28" s="23" t="s">
        <v>67</v>
      </c>
      <c r="D28" s="24" t="s">
        <v>126</v>
      </c>
      <c r="E28" s="28">
        <v>8</v>
      </c>
      <c r="F28" s="28">
        <v>8</v>
      </c>
      <c r="G28" s="28">
        <v>9</v>
      </c>
      <c r="H28" s="28">
        <v>7</v>
      </c>
      <c r="I28" s="28">
        <v>5</v>
      </c>
      <c r="J28" s="28">
        <v>3</v>
      </c>
      <c r="K28" s="28">
        <f t="shared" si="0"/>
        <v>40</v>
      </c>
      <c r="L28" s="28">
        <v>50</v>
      </c>
      <c r="M28" s="42">
        <f t="shared" si="1"/>
        <v>90</v>
      </c>
      <c r="N28" s="28">
        <v>8</v>
      </c>
      <c r="O28" s="28">
        <v>8</v>
      </c>
      <c r="P28" s="28">
        <v>9</v>
      </c>
      <c r="Q28" s="28">
        <v>15</v>
      </c>
      <c r="R28" s="28">
        <f t="shared" si="2"/>
        <v>40</v>
      </c>
      <c r="S28" s="28">
        <v>45</v>
      </c>
      <c r="T28" s="29">
        <f t="shared" si="3"/>
        <v>85</v>
      </c>
      <c r="U28" s="28">
        <v>7</v>
      </c>
      <c r="V28" s="28">
        <v>8</v>
      </c>
      <c r="W28" s="28">
        <v>7</v>
      </c>
      <c r="X28" s="28">
        <v>6</v>
      </c>
      <c r="Y28" s="28">
        <v>6</v>
      </c>
      <c r="Z28" s="28">
        <v>13</v>
      </c>
      <c r="AA28" s="28">
        <f t="shared" si="4"/>
        <v>47</v>
      </c>
      <c r="AB28" s="28">
        <v>49</v>
      </c>
      <c r="AC28" s="29">
        <f t="shared" si="5"/>
        <v>96</v>
      </c>
      <c r="AD28" s="29">
        <f t="shared" si="6"/>
        <v>90.333333333333329</v>
      </c>
    </row>
    <row r="29" spans="1:30" ht="15.5" x14ac:dyDescent="0.35">
      <c r="A29" s="22">
        <v>17</v>
      </c>
      <c r="B29" s="23"/>
      <c r="C29" s="23" t="s">
        <v>68</v>
      </c>
      <c r="D29" s="24" t="s">
        <v>114</v>
      </c>
      <c r="E29" s="28">
        <v>8</v>
      </c>
      <c r="F29" s="28">
        <v>8</v>
      </c>
      <c r="G29" s="28">
        <v>9</v>
      </c>
      <c r="H29" s="28">
        <v>8</v>
      </c>
      <c r="I29" s="28">
        <v>10</v>
      </c>
      <c r="J29" s="28">
        <v>7</v>
      </c>
      <c r="K29" s="28">
        <f t="shared" si="0"/>
        <v>50</v>
      </c>
      <c r="L29" s="28">
        <v>48</v>
      </c>
      <c r="M29" s="42">
        <f t="shared" si="1"/>
        <v>98</v>
      </c>
      <c r="N29" s="28">
        <v>8</v>
      </c>
      <c r="O29" s="28">
        <v>8</v>
      </c>
      <c r="P29" s="28">
        <v>9</v>
      </c>
      <c r="Q29" s="28">
        <v>25</v>
      </c>
      <c r="R29" s="28">
        <f t="shared" si="2"/>
        <v>50</v>
      </c>
      <c r="S29" s="28">
        <v>50</v>
      </c>
      <c r="T29" s="29">
        <f t="shared" si="3"/>
        <v>100</v>
      </c>
      <c r="U29" s="28">
        <v>10</v>
      </c>
      <c r="V29" s="28">
        <v>8</v>
      </c>
      <c r="W29" s="28">
        <v>7</v>
      </c>
      <c r="X29" s="28">
        <v>6</v>
      </c>
      <c r="Y29" s="28">
        <v>6</v>
      </c>
      <c r="Z29" s="28">
        <v>13</v>
      </c>
      <c r="AA29" s="28">
        <f t="shared" si="4"/>
        <v>50</v>
      </c>
      <c r="AB29" s="28">
        <v>50</v>
      </c>
      <c r="AC29" s="29">
        <f t="shared" si="5"/>
        <v>100</v>
      </c>
      <c r="AD29" s="29">
        <f t="shared" si="6"/>
        <v>99.333333333333329</v>
      </c>
    </row>
    <row r="30" spans="1:30" ht="15.5" x14ac:dyDescent="0.35">
      <c r="A30" s="22">
        <v>18</v>
      </c>
      <c r="B30" s="23"/>
      <c r="C30" s="23" t="s">
        <v>67</v>
      </c>
      <c r="D30" s="45" t="s">
        <v>115</v>
      </c>
      <c r="E30" s="28">
        <v>8</v>
      </c>
      <c r="F30" s="28">
        <v>8</v>
      </c>
      <c r="G30" s="28">
        <v>9</v>
      </c>
      <c r="H30" s="28">
        <v>8</v>
      </c>
      <c r="I30" s="28">
        <v>10</v>
      </c>
      <c r="J30" s="28">
        <v>7</v>
      </c>
      <c r="K30" s="28">
        <f t="shared" si="0"/>
        <v>50</v>
      </c>
      <c r="L30" s="28">
        <v>45</v>
      </c>
      <c r="M30" s="42">
        <f t="shared" si="1"/>
        <v>95</v>
      </c>
      <c r="N30" s="28">
        <v>8</v>
      </c>
      <c r="O30" s="28">
        <v>8</v>
      </c>
      <c r="P30" s="28">
        <v>9</v>
      </c>
      <c r="Q30" s="28">
        <v>15</v>
      </c>
      <c r="R30" s="28">
        <f t="shared" si="2"/>
        <v>40</v>
      </c>
      <c r="S30" s="28">
        <v>50</v>
      </c>
      <c r="T30" s="29">
        <f t="shared" si="3"/>
        <v>90</v>
      </c>
      <c r="U30" s="28">
        <v>10</v>
      </c>
      <c r="V30" s="28">
        <v>8</v>
      </c>
      <c r="W30" s="28">
        <v>7</v>
      </c>
      <c r="X30" s="28">
        <v>6</v>
      </c>
      <c r="Y30" s="28">
        <v>6</v>
      </c>
      <c r="Z30" s="28">
        <v>13</v>
      </c>
      <c r="AA30" s="28">
        <f t="shared" si="4"/>
        <v>50</v>
      </c>
      <c r="AB30" s="28">
        <v>49</v>
      </c>
      <c r="AC30" s="29">
        <f t="shared" si="5"/>
        <v>99</v>
      </c>
      <c r="AD30" s="29">
        <f t="shared" si="6"/>
        <v>94.666666666666671</v>
      </c>
    </row>
    <row r="31" spans="1:30" ht="15.5" x14ac:dyDescent="0.35">
      <c r="A31" s="22">
        <v>19</v>
      </c>
      <c r="B31" s="23"/>
      <c r="C31" s="23" t="s">
        <v>67</v>
      </c>
      <c r="D31" s="24" t="s">
        <v>116</v>
      </c>
      <c r="E31" s="28">
        <v>8</v>
      </c>
      <c r="F31" s="28">
        <v>0</v>
      </c>
      <c r="G31" s="28">
        <v>9</v>
      </c>
      <c r="H31" s="28">
        <v>8</v>
      </c>
      <c r="I31" s="28">
        <v>10</v>
      </c>
      <c r="J31" s="28">
        <v>5</v>
      </c>
      <c r="K31" s="28">
        <f t="shared" si="0"/>
        <v>40</v>
      </c>
      <c r="L31" s="28">
        <v>45</v>
      </c>
      <c r="M31" s="42">
        <f t="shared" si="1"/>
        <v>85</v>
      </c>
      <c r="N31" s="28">
        <v>8</v>
      </c>
      <c r="O31" s="28">
        <v>8</v>
      </c>
      <c r="P31" s="28">
        <v>9</v>
      </c>
      <c r="Q31" s="28">
        <v>25</v>
      </c>
      <c r="R31" s="28">
        <f t="shared" si="2"/>
        <v>50</v>
      </c>
      <c r="S31" s="28">
        <v>50</v>
      </c>
      <c r="T31" s="29">
        <f t="shared" si="3"/>
        <v>100</v>
      </c>
      <c r="U31" s="28">
        <v>10</v>
      </c>
      <c r="V31" s="28">
        <v>8</v>
      </c>
      <c r="W31" s="28">
        <v>7</v>
      </c>
      <c r="X31" s="28">
        <v>6</v>
      </c>
      <c r="Y31" s="28">
        <v>6</v>
      </c>
      <c r="Z31" s="28">
        <v>13</v>
      </c>
      <c r="AA31" s="28">
        <f t="shared" si="4"/>
        <v>50</v>
      </c>
      <c r="AB31" s="28">
        <v>50</v>
      </c>
      <c r="AC31" s="29">
        <f t="shared" si="5"/>
        <v>100</v>
      </c>
      <c r="AD31" s="29">
        <f t="shared" si="6"/>
        <v>95</v>
      </c>
    </row>
    <row r="32" spans="1:30" ht="15.5" x14ac:dyDescent="0.35">
      <c r="A32" s="22">
        <v>20</v>
      </c>
      <c r="B32" s="23"/>
      <c r="C32" s="23" t="s">
        <v>68</v>
      </c>
      <c r="D32" s="24" t="s">
        <v>117</v>
      </c>
      <c r="E32" s="28">
        <v>8</v>
      </c>
      <c r="F32" s="28">
        <v>8</v>
      </c>
      <c r="G32" s="28">
        <v>9</v>
      </c>
      <c r="H32" s="28">
        <v>7</v>
      </c>
      <c r="I32" s="28">
        <v>10</v>
      </c>
      <c r="J32" s="28">
        <v>5</v>
      </c>
      <c r="K32" s="28">
        <f t="shared" si="0"/>
        <v>47</v>
      </c>
      <c r="L32" s="28">
        <v>48</v>
      </c>
      <c r="M32" s="42">
        <f t="shared" si="1"/>
        <v>95</v>
      </c>
      <c r="N32" s="28">
        <v>8</v>
      </c>
      <c r="O32" s="28">
        <v>8</v>
      </c>
      <c r="P32" s="28">
        <v>9</v>
      </c>
      <c r="Q32" s="28">
        <v>20</v>
      </c>
      <c r="R32" s="28">
        <f t="shared" si="2"/>
        <v>45</v>
      </c>
      <c r="S32" s="28">
        <v>45</v>
      </c>
      <c r="T32" s="29">
        <f t="shared" si="3"/>
        <v>90</v>
      </c>
      <c r="U32" s="28">
        <v>7</v>
      </c>
      <c r="V32" s="28">
        <v>8</v>
      </c>
      <c r="W32" s="28">
        <v>7</v>
      </c>
      <c r="X32" s="28">
        <v>6</v>
      </c>
      <c r="Y32" s="28">
        <v>6</v>
      </c>
      <c r="Z32" s="28">
        <v>13</v>
      </c>
      <c r="AA32" s="28">
        <f t="shared" si="4"/>
        <v>47</v>
      </c>
      <c r="AB32" s="28">
        <v>41</v>
      </c>
      <c r="AC32" s="29">
        <f t="shared" si="5"/>
        <v>88</v>
      </c>
      <c r="AD32" s="29">
        <f t="shared" si="6"/>
        <v>91</v>
      </c>
    </row>
    <row r="33" spans="1:32" ht="15.5" x14ac:dyDescent="0.35">
      <c r="A33" s="22">
        <v>21</v>
      </c>
      <c r="B33" s="23"/>
      <c r="C33" s="23" t="s">
        <v>67</v>
      </c>
      <c r="D33" s="24" t="s">
        <v>118</v>
      </c>
      <c r="E33" s="28">
        <v>8</v>
      </c>
      <c r="F33" s="28">
        <v>8</v>
      </c>
      <c r="G33" s="28">
        <v>9</v>
      </c>
      <c r="H33" s="28">
        <v>8</v>
      </c>
      <c r="I33" s="28">
        <v>10</v>
      </c>
      <c r="J33" s="28">
        <v>6</v>
      </c>
      <c r="K33" s="28">
        <f t="shared" si="0"/>
        <v>49</v>
      </c>
      <c r="L33" s="28">
        <v>45</v>
      </c>
      <c r="M33" s="42">
        <f t="shared" si="1"/>
        <v>94</v>
      </c>
      <c r="N33" s="28">
        <v>8</v>
      </c>
      <c r="O33" s="28">
        <v>8</v>
      </c>
      <c r="P33" s="28">
        <v>9</v>
      </c>
      <c r="Q33" s="28">
        <v>25</v>
      </c>
      <c r="R33" s="28">
        <f t="shared" si="2"/>
        <v>50</v>
      </c>
      <c r="S33" s="28">
        <v>50</v>
      </c>
      <c r="T33" s="29">
        <f t="shared" si="3"/>
        <v>100</v>
      </c>
      <c r="U33" s="28">
        <v>10</v>
      </c>
      <c r="V33" s="28">
        <v>8</v>
      </c>
      <c r="W33" s="28">
        <v>7</v>
      </c>
      <c r="X33" s="28">
        <v>6</v>
      </c>
      <c r="Y33" s="28">
        <v>6</v>
      </c>
      <c r="Z33" s="28">
        <v>13</v>
      </c>
      <c r="AA33" s="28">
        <f t="shared" si="4"/>
        <v>50</v>
      </c>
      <c r="AB33" s="28">
        <v>50</v>
      </c>
      <c r="AC33" s="29">
        <f t="shared" si="5"/>
        <v>100</v>
      </c>
      <c r="AD33" s="29">
        <f t="shared" si="6"/>
        <v>98</v>
      </c>
    </row>
    <row r="34" spans="1:32" ht="15.5" x14ac:dyDescent="0.35">
      <c r="A34" s="22">
        <v>22</v>
      </c>
      <c r="B34" s="23"/>
      <c r="C34" s="23" t="s">
        <v>67</v>
      </c>
      <c r="D34" s="24" t="s">
        <v>119</v>
      </c>
      <c r="E34" s="28">
        <v>8</v>
      </c>
      <c r="F34" s="28">
        <v>8</v>
      </c>
      <c r="G34" s="28">
        <v>9</v>
      </c>
      <c r="H34" s="28">
        <v>8</v>
      </c>
      <c r="I34" s="28">
        <v>10</v>
      </c>
      <c r="J34" s="28">
        <v>5</v>
      </c>
      <c r="K34" s="28">
        <f t="shared" si="0"/>
        <v>48</v>
      </c>
      <c r="L34" s="28">
        <v>48</v>
      </c>
      <c r="M34" s="42">
        <f t="shared" si="1"/>
        <v>96</v>
      </c>
      <c r="N34" s="28">
        <v>8</v>
      </c>
      <c r="O34" s="28">
        <v>8</v>
      </c>
      <c r="P34" s="28">
        <v>9</v>
      </c>
      <c r="Q34" s="28">
        <v>25</v>
      </c>
      <c r="R34" s="28">
        <f t="shared" si="2"/>
        <v>50</v>
      </c>
      <c r="S34" s="28">
        <v>50</v>
      </c>
      <c r="T34" s="29">
        <f t="shared" si="3"/>
        <v>100</v>
      </c>
      <c r="U34" s="28">
        <v>10</v>
      </c>
      <c r="V34" s="28">
        <v>8</v>
      </c>
      <c r="W34" s="28">
        <v>7</v>
      </c>
      <c r="X34" s="28">
        <v>6</v>
      </c>
      <c r="Y34" s="28">
        <v>6</v>
      </c>
      <c r="Z34" s="28"/>
      <c r="AA34" s="28">
        <f t="shared" si="4"/>
        <v>37</v>
      </c>
      <c r="AB34" s="28">
        <v>45</v>
      </c>
      <c r="AC34" s="29">
        <f t="shared" si="5"/>
        <v>82</v>
      </c>
      <c r="AD34" s="29">
        <f t="shared" si="6"/>
        <v>92.666666666666671</v>
      </c>
    </row>
    <row r="35" spans="1:32" ht="17" customHeight="1" x14ac:dyDescent="0.35">
      <c r="A35" s="22">
        <v>23</v>
      </c>
      <c r="B35" s="23"/>
      <c r="C35" s="23" t="s">
        <v>67</v>
      </c>
      <c r="D35" s="44" t="s">
        <v>120</v>
      </c>
      <c r="E35" s="28">
        <v>8</v>
      </c>
      <c r="F35" s="28">
        <v>8</v>
      </c>
      <c r="G35" s="28">
        <v>9</v>
      </c>
      <c r="H35" s="28"/>
      <c r="I35" s="28">
        <v>10</v>
      </c>
      <c r="J35" s="28"/>
      <c r="K35" s="28">
        <f t="shared" si="0"/>
        <v>35</v>
      </c>
      <c r="L35" s="28">
        <v>43</v>
      </c>
      <c r="M35" s="42">
        <f t="shared" si="1"/>
        <v>78</v>
      </c>
      <c r="N35" s="28">
        <v>8</v>
      </c>
      <c r="O35" s="28">
        <v>8</v>
      </c>
      <c r="P35" s="28">
        <v>9</v>
      </c>
      <c r="Q35" s="28">
        <v>20</v>
      </c>
      <c r="R35" s="28">
        <f t="shared" si="2"/>
        <v>45</v>
      </c>
      <c r="S35" s="28">
        <v>45</v>
      </c>
      <c r="T35" s="29">
        <f t="shared" si="3"/>
        <v>90</v>
      </c>
      <c r="U35" s="28">
        <v>8</v>
      </c>
      <c r="V35" s="28">
        <v>8</v>
      </c>
      <c r="W35" s="28">
        <v>7</v>
      </c>
      <c r="X35" s="28">
        <v>6</v>
      </c>
      <c r="Y35" s="28">
        <v>6</v>
      </c>
      <c r="Z35" s="28">
        <v>13</v>
      </c>
      <c r="AA35" s="28">
        <f t="shared" si="4"/>
        <v>48</v>
      </c>
      <c r="AB35" s="28">
        <v>45</v>
      </c>
      <c r="AC35" s="29">
        <f t="shared" si="5"/>
        <v>93</v>
      </c>
      <c r="AD35" s="29">
        <f t="shared" si="6"/>
        <v>87</v>
      </c>
    </row>
    <row r="36" spans="1:32" ht="15.5" x14ac:dyDescent="0.35">
      <c r="A36" s="22">
        <v>24</v>
      </c>
      <c r="B36" s="23"/>
      <c r="C36" s="23" t="s">
        <v>67</v>
      </c>
      <c r="D36" s="44" t="s">
        <v>121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f t="shared" si="0"/>
        <v>0</v>
      </c>
      <c r="L36" s="28">
        <v>0</v>
      </c>
      <c r="M36" s="42">
        <f t="shared" si="1"/>
        <v>0</v>
      </c>
      <c r="N36" s="28">
        <v>0</v>
      </c>
      <c r="O36" s="28">
        <v>0</v>
      </c>
      <c r="P36" s="28">
        <v>0</v>
      </c>
      <c r="Q36" s="28">
        <v>0</v>
      </c>
      <c r="R36" s="28">
        <f t="shared" si="2"/>
        <v>0</v>
      </c>
      <c r="S36" s="28">
        <v>0</v>
      </c>
      <c r="T36" s="29">
        <f t="shared" si="3"/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f t="shared" si="4"/>
        <v>0</v>
      </c>
      <c r="AB36" s="28">
        <v>0</v>
      </c>
      <c r="AC36" s="29">
        <f t="shared" si="5"/>
        <v>0</v>
      </c>
      <c r="AD36" s="29">
        <f t="shared" si="6"/>
        <v>0</v>
      </c>
    </row>
    <row r="37" spans="1:32" ht="15.5" x14ac:dyDescent="0.35">
      <c r="A37" s="22">
        <v>25</v>
      </c>
      <c r="B37" s="23"/>
      <c r="C37" s="23" t="s">
        <v>67</v>
      </c>
      <c r="D37" s="24" t="s">
        <v>122</v>
      </c>
      <c r="E37" s="28">
        <v>8</v>
      </c>
      <c r="F37" s="28">
        <v>8</v>
      </c>
      <c r="G37" s="28">
        <v>9</v>
      </c>
      <c r="H37" s="28">
        <v>7</v>
      </c>
      <c r="I37" s="28">
        <v>9</v>
      </c>
      <c r="J37" s="28">
        <v>7</v>
      </c>
      <c r="K37" s="28">
        <f t="shared" si="0"/>
        <v>48</v>
      </c>
      <c r="L37" s="28">
        <v>48</v>
      </c>
      <c r="M37" s="42">
        <f t="shared" si="1"/>
        <v>96</v>
      </c>
      <c r="N37" s="28">
        <v>8</v>
      </c>
      <c r="O37" s="28">
        <v>8</v>
      </c>
      <c r="P37" s="28">
        <v>9</v>
      </c>
      <c r="Q37" s="28">
        <v>20</v>
      </c>
      <c r="R37" s="28">
        <f t="shared" si="2"/>
        <v>45</v>
      </c>
      <c r="S37" s="28">
        <v>43</v>
      </c>
      <c r="T37" s="29">
        <f t="shared" si="3"/>
        <v>88</v>
      </c>
      <c r="U37" s="28">
        <v>10</v>
      </c>
      <c r="V37" s="28">
        <v>8</v>
      </c>
      <c r="W37" s="28">
        <v>7</v>
      </c>
      <c r="X37" s="28">
        <v>6</v>
      </c>
      <c r="Y37" s="28">
        <v>6</v>
      </c>
      <c r="Z37" s="28">
        <v>13</v>
      </c>
      <c r="AA37" s="28">
        <f t="shared" si="4"/>
        <v>50</v>
      </c>
      <c r="AB37" s="28">
        <v>45</v>
      </c>
      <c r="AC37" s="29">
        <f t="shared" si="5"/>
        <v>95</v>
      </c>
      <c r="AD37" s="29">
        <f t="shared" si="6"/>
        <v>93</v>
      </c>
    </row>
    <row r="38" spans="1:32" ht="15.5" x14ac:dyDescent="0.35">
      <c r="A38" s="22">
        <v>26</v>
      </c>
      <c r="B38" s="23"/>
      <c r="C38" s="23" t="s">
        <v>68</v>
      </c>
      <c r="D38" s="24" t="s">
        <v>123</v>
      </c>
      <c r="E38" s="28">
        <v>8</v>
      </c>
      <c r="F38" s="28">
        <v>8</v>
      </c>
      <c r="G38" s="28">
        <v>9</v>
      </c>
      <c r="H38" s="28">
        <v>7</v>
      </c>
      <c r="I38" s="28">
        <v>10</v>
      </c>
      <c r="J38" s="28">
        <v>5</v>
      </c>
      <c r="K38" s="28">
        <f t="shared" si="0"/>
        <v>47</v>
      </c>
      <c r="L38" s="28">
        <v>48</v>
      </c>
      <c r="M38" s="42">
        <f t="shared" si="1"/>
        <v>95</v>
      </c>
      <c r="N38" s="28">
        <v>8</v>
      </c>
      <c r="O38" s="28">
        <v>8</v>
      </c>
      <c r="P38" s="28">
        <v>9</v>
      </c>
      <c r="Q38" s="28">
        <v>25</v>
      </c>
      <c r="R38" s="28">
        <f t="shared" si="2"/>
        <v>50</v>
      </c>
      <c r="S38" s="28">
        <v>45</v>
      </c>
      <c r="T38" s="29">
        <f t="shared" si="3"/>
        <v>95</v>
      </c>
      <c r="U38" s="28">
        <v>10</v>
      </c>
      <c r="V38" s="28">
        <v>8</v>
      </c>
      <c r="W38" s="28">
        <v>7</v>
      </c>
      <c r="X38" s="28">
        <v>6</v>
      </c>
      <c r="Y38" s="28">
        <v>6</v>
      </c>
      <c r="Z38" s="28">
        <v>13</v>
      </c>
      <c r="AA38" s="28">
        <f t="shared" si="4"/>
        <v>50</v>
      </c>
      <c r="AB38" s="28">
        <v>45</v>
      </c>
      <c r="AC38" s="29">
        <f t="shared" si="5"/>
        <v>95</v>
      </c>
      <c r="AD38" s="29">
        <f t="shared" si="6"/>
        <v>95</v>
      </c>
    </row>
    <row r="39" spans="1:32" ht="15.5" x14ac:dyDescent="0.35">
      <c r="A39" s="22">
        <v>27</v>
      </c>
      <c r="B39" s="23"/>
      <c r="C39" s="23"/>
      <c r="D39" s="24"/>
      <c r="E39" s="28"/>
      <c r="F39" s="28"/>
      <c r="G39" s="28"/>
      <c r="H39" s="28"/>
      <c r="I39" s="28"/>
      <c r="J39" s="28"/>
      <c r="K39" s="28"/>
      <c r="L39" s="28"/>
      <c r="M39" s="42"/>
      <c r="N39" s="28"/>
      <c r="O39" s="28"/>
      <c r="P39" s="28"/>
      <c r="Q39" s="28"/>
      <c r="R39" s="28"/>
      <c r="S39" s="28"/>
      <c r="T39" s="29"/>
      <c r="U39" s="28"/>
      <c r="V39" s="28"/>
      <c r="W39" s="28"/>
      <c r="X39" s="28"/>
      <c r="Y39" s="28"/>
      <c r="Z39" s="28"/>
      <c r="AA39" s="28"/>
      <c r="AB39" s="28"/>
      <c r="AC39" s="29"/>
      <c r="AD39" s="29"/>
    </row>
    <row r="40" spans="1:32" ht="15.5" x14ac:dyDescent="0.35">
      <c r="A40" s="22">
        <v>28</v>
      </c>
      <c r="B40" s="23"/>
      <c r="C40" s="23"/>
      <c r="D40" s="24"/>
      <c r="E40" s="28"/>
      <c r="F40" s="28"/>
      <c r="G40" s="28"/>
      <c r="H40" s="28"/>
      <c r="I40" s="28"/>
      <c r="J40" s="28"/>
      <c r="K40" s="28"/>
      <c r="L40" s="28"/>
      <c r="M40" s="42"/>
      <c r="N40" s="28"/>
      <c r="O40" s="28"/>
      <c r="P40" s="28"/>
      <c r="Q40" s="28"/>
      <c r="R40" s="28"/>
      <c r="S40" s="28"/>
      <c r="T40" s="29"/>
      <c r="U40" s="28"/>
      <c r="V40" s="28"/>
      <c r="W40" s="28"/>
      <c r="X40" s="28"/>
      <c r="Y40" s="28"/>
      <c r="Z40" s="28"/>
      <c r="AA40" s="28"/>
      <c r="AB40" s="28"/>
      <c r="AC40" s="29"/>
      <c r="AD40" s="29"/>
    </row>
    <row r="41" spans="1:32" ht="15.5" x14ac:dyDescent="0.35">
      <c r="A41" s="22">
        <v>29</v>
      </c>
      <c r="B41" s="23"/>
      <c r="C41" s="23"/>
      <c r="D41" s="24"/>
      <c r="E41" s="28"/>
      <c r="F41" s="28"/>
      <c r="G41" s="28"/>
      <c r="H41" s="28"/>
      <c r="I41" s="28"/>
      <c r="J41" s="28"/>
      <c r="K41" s="28"/>
      <c r="L41" s="28"/>
      <c r="M41" s="42"/>
      <c r="N41" s="28"/>
      <c r="O41" s="28"/>
      <c r="P41" s="28"/>
      <c r="Q41" s="28"/>
      <c r="R41" s="28"/>
      <c r="S41" s="28"/>
      <c r="T41" s="29"/>
      <c r="U41" s="28"/>
      <c r="V41" s="28"/>
      <c r="W41" s="28"/>
      <c r="X41" s="28"/>
      <c r="Y41" s="28"/>
      <c r="Z41" s="28"/>
      <c r="AA41" s="28"/>
      <c r="AB41" s="28"/>
      <c r="AC41" s="29"/>
      <c r="AD41" s="29"/>
    </row>
    <row r="42" spans="1:32" ht="15.5" x14ac:dyDescent="0.35">
      <c r="A42" s="22">
        <v>30</v>
      </c>
      <c r="B42" s="23"/>
      <c r="C42" s="23"/>
      <c r="D42" s="24"/>
      <c r="E42" s="28"/>
      <c r="F42" s="28"/>
      <c r="G42" s="28"/>
      <c r="H42" s="28"/>
      <c r="I42" s="28"/>
      <c r="J42" s="28"/>
      <c r="K42" s="28"/>
      <c r="L42" s="28"/>
      <c r="M42" s="42"/>
      <c r="N42" s="28"/>
      <c r="O42" s="28"/>
      <c r="P42" s="28"/>
      <c r="Q42" s="28"/>
      <c r="R42" s="28"/>
      <c r="S42" s="28"/>
      <c r="T42" s="29"/>
      <c r="U42" s="28"/>
      <c r="V42" s="28"/>
      <c r="W42" s="28"/>
      <c r="X42" s="28"/>
      <c r="Y42" s="28"/>
      <c r="Z42" s="28"/>
      <c r="AA42" s="28"/>
      <c r="AB42" s="28"/>
      <c r="AC42" s="29"/>
      <c r="AD42" s="29"/>
    </row>
    <row r="43" spans="1:32" ht="15.5" x14ac:dyDescent="0.35">
      <c r="A43" s="22">
        <v>31</v>
      </c>
      <c r="B43" s="23"/>
      <c r="C43" s="23"/>
      <c r="D43" s="24"/>
      <c r="E43" s="28"/>
      <c r="F43" s="28"/>
      <c r="G43" s="28"/>
      <c r="H43" s="28"/>
      <c r="I43" s="28"/>
      <c r="J43" s="28"/>
      <c r="K43" s="28"/>
      <c r="L43" s="28"/>
      <c r="M43" s="42"/>
      <c r="N43" s="28"/>
      <c r="O43" s="28"/>
      <c r="P43" s="28"/>
      <c r="Q43" s="28"/>
      <c r="R43" s="28"/>
      <c r="S43" s="28"/>
      <c r="T43" s="29"/>
      <c r="U43" s="28"/>
      <c r="V43" s="28"/>
      <c r="W43" s="28"/>
      <c r="X43" s="28"/>
      <c r="Y43" s="28"/>
      <c r="Z43" s="28"/>
      <c r="AA43" s="28"/>
      <c r="AB43" s="28"/>
      <c r="AC43" s="29"/>
      <c r="AD43" s="29"/>
      <c r="AE43" s="27"/>
      <c r="AF43" s="27"/>
    </row>
    <row r="44" spans="1:32" ht="15.5" x14ac:dyDescent="0.35">
      <c r="A44" s="22">
        <v>32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9"/>
      <c r="N44" s="28"/>
      <c r="O44" s="28"/>
      <c r="P44" s="28"/>
      <c r="Q44" s="28"/>
      <c r="R44" s="28"/>
      <c r="S44" s="28"/>
      <c r="T44" s="29"/>
      <c r="U44" s="28"/>
      <c r="V44" s="28"/>
      <c r="W44" s="28"/>
      <c r="X44" s="28"/>
      <c r="Y44" s="28"/>
      <c r="Z44" s="28"/>
      <c r="AA44" s="28"/>
      <c r="AB44" s="28"/>
      <c r="AC44" s="29"/>
      <c r="AD44" s="29"/>
    </row>
    <row r="45" spans="1:32" ht="15.5" x14ac:dyDescent="0.35">
      <c r="A45" s="22">
        <v>33</v>
      </c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9"/>
      <c r="N45" s="28"/>
      <c r="O45" s="28"/>
      <c r="P45" s="28"/>
      <c r="Q45" s="28"/>
      <c r="R45" s="28"/>
      <c r="S45" s="28"/>
      <c r="T45" s="29"/>
      <c r="U45" s="28"/>
      <c r="V45" s="28"/>
      <c r="W45" s="28"/>
      <c r="X45" s="28"/>
      <c r="Y45" s="28"/>
      <c r="Z45" s="28"/>
      <c r="AA45" s="28"/>
      <c r="AB45" s="28"/>
      <c r="AC45" s="29"/>
      <c r="AD45" s="29"/>
    </row>
    <row r="46" spans="1:32" ht="15.5" x14ac:dyDescent="0.35">
      <c r="A46" s="22">
        <v>34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9"/>
      <c r="N46" s="28"/>
      <c r="O46" s="28"/>
      <c r="P46" s="28"/>
      <c r="Q46" s="28"/>
      <c r="R46" s="28"/>
      <c r="S46" s="28"/>
      <c r="T46" s="29"/>
      <c r="U46" s="28"/>
      <c r="V46" s="28"/>
      <c r="W46" s="28"/>
      <c r="X46" s="28"/>
      <c r="Y46" s="28"/>
      <c r="Z46" s="28"/>
      <c r="AA46" s="28"/>
      <c r="AB46" s="28"/>
      <c r="AC46" s="29"/>
      <c r="AD46" s="29"/>
    </row>
    <row r="47" spans="1:32" ht="15.5" x14ac:dyDescent="0.35">
      <c r="A47" s="22">
        <v>35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9"/>
      <c r="N47" s="28"/>
      <c r="O47" s="28"/>
      <c r="P47" s="28"/>
      <c r="Q47" s="28"/>
      <c r="R47" s="28"/>
      <c r="S47" s="28"/>
      <c r="T47" s="29"/>
      <c r="U47" s="28"/>
      <c r="V47" s="28"/>
      <c r="W47" s="28"/>
      <c r="X47" s="28"/>
      <c r="Y47" s="28"/>
      <c r="Z47" s="28"/>
      <c r="AA47" s="28"/>
      <c r="AB47" s="28"/>
      <c r="AC47" s="29"/>
      <c r="AD47" s="29"/>
    </row>
    <row r="48" spans="1:32" x14ac:dyDescent="0.35">
      <c r="K48" s="51" t="s">
        <v>73</v>
      </c>
      <c r="L48" s="51"/>
      <c r="M48" s="37">
        <f>MAX(M11:M47)</f>
        <v>100</v>
      </c>
      <c r="R48" s="51" t="s">
        <v>73</v>
      </c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37">
        <f>MAX(AC11:AC47)</f>
        <v>100</v>
      </c>
      <c r="AD48" s="37">
        <f>MAX(AD11:AD47)</f>
        <v>99.666666666666671</v>
      </c>
    </row>
    <row r="49" spans="2:5" x14ac:dyDescent="0.35">
      <c r="B49" s="32" t="s">
        <v>65</v>
      </c>
      <c r="C49" s="32"/>
      <c r="D49" s="40" t="s">
        <v>82</v>
      </c>
    </row>
    <row r="50" spans="2:5" x14ac:dyDescent="0.35">
      <c r="B50" s="33" t="s">
        <v>66</v>
      </c>
      <c r="C50" s="30" t="s">
        <v>69</v>
      </c>
      <c r="E50" s="31" t="s">
        <v>83</v>
      </c>
    </row>
    <row r="51" spans="2:5" ht="15.5" x14ac:dyDescent="0.35">
      <c r="B51" s="23" t="s">
        <v>67</v>
      </c>
      <c r="C51" s="34">
        <f>COUNTIF($C$9:$C$47,B51)</f>
        <v>21</v>
      </c>
      <c r="D51" s="40" t="s">
        <v>81</v>
      </c>
      <c r="E51" s="34">
        <f>COUNT(L11:L47)</f>
        <v>28</v>
      </c>
    </row>
    <row r="52" spans="2:5" ht="15.5" x14ac:dyDescent="0.35">
      <c r="B52" s="23" t="s">
        <v>68</v>
      </c>
      <c r="C52" s="34">
        <f>COUNTIF($C$9:$C$47,B52)</f>
        <v>7</v>
      </c>
      <c r="D52" s="40" t="s">
        <v>72</v>
      </c>
      <c r="E52" s="34">
        <f>C55</f>
        <v>27</v>
      </c>
    </row>
    <row r="53" spans="2:5" x14ac:dyDescent="0.35">
      <c r="D53" s="40" t="s">
        <v>84</v>
      </c>
      <c r="E53" s="41">
        <f>E52/E51</f>
        <v>0.9642857142857143</v>
      </c>
    </row>
    <row r="54" spans="2:5" x14ac:dyDescent="0.35">
      <c r="B54" s="33" t="s">
        <v>74</v>
      </c>
      <c r="C54" s="30" t="s">
        <v>70</v>
      </c>
    </row>
    <row r="55" spans="2:5" ht="15.5" x14ac:dyDescent="0.35">
      <c r="B55" s="23" t="s">
        <v>72</v>
      </c>
      <c r="C55" s="34">
        <f>COUNTIF($M$11:$M$47,"&gt;=60")</f>
        <v>27</v>
      </c>
    </row>
    <row r="56" spans="2:5" ht="15.5" x14ac:dyDescent="0.35">
      <c r="B56" s="23" t="s">
        <v>71</v>
      </c>
      <c r="C56" s="34">
        <f>COUNTIF($M$11:$M$47,"&lt;=60")</f>
        <v>1</v>
      </c>
    </row>
    <row r="58" spans="2:5" x14ac:dyDescent="0.35">
      <c r="B58" s="36" t="s">
        <v>75</v>
      </c>
    </row>
    <row r="59" spans="2:5" x14ac:dyDescent="0.35">
      <c r="B59" s="38" t="s">
        <v>76</v>
      </c>
      <c r="C59" s="39">
        <f>M48</f>
        <v>100</v>
      </c>
    </row>
    <row r="60" spans="2:5" x14ac:dyDescent="0.35">
      <c r="B60" s="60" t="s">
        <v>79</v>
      </c>
      <c r="C60" s="61"/>
    </row>
    <row r="61" spans="2:5" x14ac:dyDescent="0.35">
      <c r="B61" t="str" cm="1">
        <f t="array" ref="B61:B62">_xlfn._xlws.FILTER($D$11:$D$47,$M$11:$M$47&gt;=$C$59)</f>
        <v>BERRIOS CASTILLO LUIS CARLOS</v>
      </c>
    </row>
    <row r="62" spans="2:5" x14ac:dyDescent="0.35">
      <c r="B62" t="str">
        <v>FLORES BALTODANO ASHLEY HILLARY</v>
      </c>
    </row>
    <row r="64" spans="2:5" x14ac:dyDescent="0.35">
      <c r="B64" s="36" t="s">
        <v>77</v>
      </c>
    </row>
    <row r="65" spans="2:3" x14ac:dyDescent="0.35">
      <c r="B65" s="38" t="s">
        <v>76</v>
      </c>
      <c r="C65" s="39">
        <f>AC48</f>
        <v>100</v>
      </c>
    </row>
    <row r="66" spans="2:3" x14ac:dyDescent="0.35">
      <c r="B66" s="60" t="s">
        <v>79</v>
      </c>
      <c r="C66" s="61"/>
    </row>
    <row r="67" spans="2:3" x14ac:dyDescent="0.35">
      <c r="B67" s="35" t="e" cm="1" vm="1">
        <f t="array" aca="1" ref="B67" ca="1">_xlfn._xlws.FILTER($D$11:$D$47,$AC$11:$AC$47&gt;=$C$65)</f>
        <v>#VALUE!</v>
      </c>
    </row>
    <row r="68" spans="2:3" x14ac:dyDescent="0.35">
      <c r="B68" s="35"/>
    </row>
    <row r="69" spans="2:3" x14ac:dyDescent="0.35">
      <c r="B69" s="35"/>
    </row>
    <row r="70" spans="2:3" x14ac:dyDescent="0.35">
      <c r="B70" s="36" t="s">
        <v>78</v>
      </c>
    </row>
    <row r="71" spans="2:3" x14ac:dyDescent="0.35">
      <c r="B71" s="38" t="s">
        <v>76</v>
      </c>
      <c r="C71" s="39" t="e">
        <f>#REF!</f>
        <v>#REF!</v>
      </c>
    </row>
    <row r="72" spans="2:3" x14ac:dyDescent="0.35">
      <c r="B72" s="60" t="s">
        <v>79</v>
      </c>
      <c r="C72" s="61"/>
    </row>
    <row r="73" spans="2:3" x14ac:dyDescent="0.35">
      <c r="B73" s="35" t="e" cm="1">
        <f t="array" ref="B73">_xlfn._xlws.FILTER($D$11:$D$47,#REF!&gt;=$C$71)</f>
        <v>#REF!</v>
      </c>
    </row>
    <row r="74" spans="2:3" x14ac:dyDescent="0.35">
      <c r="B74" s="35"/>
    </row>
    <row r="75" spans="2:3" x14ac:dyDescent="0.35">
      <c r="B75" s="35"/>
    </row>
    <row r="76" spans="2:3" x14ac:dyDescent="0.35">
      <c r="B76" s="36" t="s">
        <v>78</v>
      </c>
    </row>
    <row r="77" spans="2:3" x14ac:dyDescent="0.35">
      <c r="B77" s="38" t="s">
        <v>76</v>
      </c>
      <c r="C77" s="39">
        <f>AD48</f>
        <v>99.666666666666671</v>
      </c>
    </row>
    <row r="78" spans="2:3" x14ac:dyDescent="0.35">
      <c r="B78" s="60" t="s">
        <v>79</v>
      </c>
      <c r="C78" s="61"/>
    </row>
    <row r="79" spans="2:3" x14ac:dyDescent="0.35">
      <c r="B79" s="35" t="str" cm="1">
        <f t="array" ref="B79">_xlfn._xlws.FILTER($D$11:$D$47,$AD$11:$AD$47&gt;=$C$77)</f>
        <v>BERRIOS CASTILLO LUIS CARLOS</v>
      </c>
    </row>
    <row r="80" spans="2:3" x14ac:dyDescent="0.35">
      <c r="B80" s="35"/>
    </row>
    <row r="81" spans="2:4" x14ac:dyDescent="0.35">
      <c r="B81" s="35"/>
    </row>
    <row r="82" spans="2:4" x14ac:dyDescent="0.35">
      <c r="B82" s="36" t="s">
        <v>80</v>
      </c>
    </row>
    <row r="83" spans="2:4" x14ac:dyDescent="0.35">
      <c r="B83" s="62"/>
      <c r="C83" s="62"/>
      <c r="D83" s="62"/>
    </row>
    <row r="84" spans="2:4" x14ac:dyDescent="0.35">
      <c r="B84" s="35"/>
    </row>
    <row r="85" spans="2:4" x14ac:dyDescent="0.35">
      <c r="B85" s="35"/>
    </row>
    <row r="86" spans="2:4" x14ac:dyDescent="0.35">
      <c r="B86" s="35"/>
    </row>
    <row r="87" spans="2:4" x14ac:dyDescent="0.35">
      <c r="B87" s="35"/>
    </row>
    <row r="88" spans="2:4" x14ac:dyDescent="0.35">
      <c r="B88" s="35"/>
    </row>
    <row r="89" spans="2:4" x14ac:dyDescent="0.35">
      <c r="B89" s="35"/>
    </row>
    <row r="90" spans="2:4" x14ac:dyDescent="0.35">
      <c r="B90" s="35"/>
    </row>
  </sheetData>
  <sortState xmlns:xlrd2="http://schemas.microsoft.com/office/spreadsheetml/2017/richdata2" ref="A11:AD43">
    <sortCondition ref="D11:D43"/>
    <sortCondition ref="C11:C43"/>
  </sortState>
  <mergeCells count="22">
    <mergeCell ref="N9:S9"/>
    <mergeCell ref="B72:C72"/>
    <mergeCell ref="B78:C78"/>
    <mergeCell ref="B83:D83"/>
    <mergeCell ref="B60:C60"/>
    <mergeCell ref="B66:C66"/>
    <mergeCell ref="T9:T10"/>
    <mergeCell ref="U9:AB9"/>
    <mergeCell ref="K48:L48"/>
    <mergeCell ref="R48:AB48"/>
    <mergeCell ref="A1:AD1"/>
    <mergeCell ref="A2:AD2"/>
    <mergeCell ref="A3:AD3"/>
    <mergeCell ref="A4:AD4"/>
    <mergeCell ref="A9:A10"/>
    <mergeCell ref="B9:B10"/>
    <mergeCell ref="D9:D10"/>
    <mergeCell ref="E9:L9"/>
    <mergeCell ref="M9:M10"/>
    <mergeCell ref="AC9:AC10"/>
    <mergeCell ref="AD9:AD10"/>
    <mergeCell ref="C9:C10"/>
  </mergeCells>
  <phoneticPr fontId="11" type="noConversion"/>
  <conditionalFormatting sqref="B44">
    <cfRule type="colorScale" priority="27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B45:B47">
    <cfRule type="colorScale" priority="26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B44:D47">
    <cfRule type="cellIs" dxfId="7" priority="5" operator="equal">
      <formula>0</formula>
    </cfRule>
  </conditionalFormatting>
  <conditionalFormatting sqref="C44:D47">
    <cfRule type="colorScale" priority="6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E11:F23 E42:F47">
    <cfRule type="colorScale" priority="16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E24:F41">
    <cfRule type="colorScale" priority="14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E11:J47">
    <cfRule type="cellIs" dxfId="6" priority="7" operator="equal">
      <formula>0</formula>
    </cfRule>
  </conditionalFormatting>
  <conditionalFormatting sqref="G11:G23 G42:G47">
    <cfRule type="colorScale" priority="10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G24:G41">
    <cfRule type="colorScale" priority="8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H11:J43 H11:H47 L11:L43">
    <cfRule type="colorScale" priority="78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H44:J44 L44">
    <cfRule type="colorScale" priority="75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K11:K43">
    <cfRule type="colorScale" priority="69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K44">
    <cfRule type="colorScale" priority="68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K45:K47">
    <cfRule type="colorScale" priority="67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K11:L47">
    <cfRule type="cellIs" dxfId="5" priority="66" operator="lessThanOrEqual">
      <formula>25</formula>
    </cfRule>
  </conditionalFormatting>
  <conditionalFormatting sqref="L45:L47 H45:J47">
    <cfRule type="colorScale" priority="73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M11:M48">
    <cfRule type="cellIs" dxfId="4" priority="65" operator="lessThanOrEqual">
      <formula>60</formula>
    </cfRule>
  </conditionalFormatting>
  <conditionalFormatting sqref="N11:Q47">
    <cfRule type="cellIs" dxfId="3" priority="57" operator="equal">
      <formula>0</formula>
    </cfRule>
    <cfRule type="colorScale" priority="60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N44:Q44">
    <cfRule type="colorScale" priority="59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N45:Q47">
    <cfRule type="colorScale" priority="58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R11:S43 U11:AA43">
    <cfRule type="colorScale" priority="64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R11:S47 U11:AB47">
    <cfRule type="cellIs" dxfId="2" priority="53" operator="lessThanOrEqual">
      <formula>25</formula>
    </cfRule>
  </conditionalFormatting>
  <conditionalFormatting sqref="R44:S44 U44:AA44">
    <cfRule type="colorScale" priority="63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R45:S47 U45:AA47">
    <cfRule type="colorScale" priority="62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S11:S38">
    <cfRule type="colorScale" priority="2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T11:T47">
    <cfRule type="cellIs" dxfId="1" priority="1" operator="lessThanOrEqual">
      <formula>60</formula>
    </cfRule>
  </conditionalFormatting>
  <conditionalFormatting sqref="AB11:AB43">
    <cfRule type="colorScale" priority="56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AB44">
    <cfRule type="colorScale" priority="55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AB45:AB47">
    <cfRule type="colorScale" priority="54">
      <colorScale>
        <cfvo type="num" val="&quot;&lt;=3&quot;"/>
        <cfvo type="num" val="&quot;&lt;=7&quot;"/>
        <cfvo type="num" val="10"/>
        <color rgb="FFFF0000"/>
        <color rgb="FFFFEB84"/>
        <color rgb="FF63BE7B"/>
      </colorScale>
    </cfRule>
  </conditionalFormatting>
  <conditionalFormatting sqref="AC11:AD48">
    <cfRule type="cellIs" dxfId="0" priority="34" operator="lessThanOrEqual">
      <formula>60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4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0"/>
  <sheetViews>
    <sheetView workbookViewId="0">
      <selection activeCell="H7" sqref="H7"/>
    </sheetView>
  </sheetViews>
  <sheetFormatPr baseColWidth="10" defaultRowHeight="14.5" x14ac:dyDescent="0.35"/>
  <cols>
    <col min="1" max="1" width="7.81640625" style="18" customWidth="1"/>
    <col min="2" max="2" width="47.453125" customWidth="1"/>
    <col min="3" max="3" width="9.26953125" customWidth="1"/>
  </cols>
  <sheetData>
    <row r="1" spans="1:19" ht="15.75" customHeight="1" x14ac:dyDescent="0.35">
      <c r="A1" s="52" t="s">
        <v>41</v>
      </c>
      <c r="B1" s="53"/>
      <c r="C1" s="53"/>
      <c r="D1" s="12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15.75" customHeight="1" x14ac:dyDescent="0.35">
      <c r="A2" s="54" t="s">
        <v>42</v>
      </c>
      <c r="B2" s="55"/>
      <c r="C2" s="55"/>
      <c r="D2" s="13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ht="15.75" customHeight="1" x14ac:dyDescent="0.35">
      <c r="A3" s="54" t="s">
        <v>51</v>
      </c>
      <c r="B3" s="55"/>
      <c r="C3" s="55"/>
      <c r="D3" s="13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ht="15.75" customHeight="1" x14ac:dyDescent="0.35">
      <c r="A4" s="54" t="s">
        <v>43</v>
      </c>
      <c r="B4" s="55"/>
      <c r="C4" s="55"/>
      <c r="D4" s="13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35">
      <c r="A5" s="14"/>
      <c r="B5" s="15"/>
      <c r="C5" s="15"/>
      <c r="D5" s="15"/>
      <c r="E5" s="7"/>
      <c r="F5" s="7"/>
      <c r="G5" s="7"/>
      <c r="H5" s="7"/>
      <c r="I5" s="7"/>
      <c r="J5" s="7"/>
      <c r="K5" s="7"/>
      <c r="L5" s="7"/>
      <c r="M5" s="8"/>
      <c r="N5" s="7"/>
      <c r="O5" s="7"/>
      <c r="P5" s="7"/>
      <c r="Q5" s="7"/>
      <c r="R5" s="7"/>
      <c r="S5" s="7"/>
    </row>
    <row r="6" spans="1:19" ht="15.5" x14ac:dyDescent="0.35">
      <c r="A6" s="20" t="s">
        <v>44</v>
      </c>
      <c r="B6" s="17"/>
      <c r="C6" s="16" t="s">
        <v>45</v>
      </c>
      <c r="D6" s="16"/>
      <c r="E6" s="9"/>
      <c r="F6" s="9"/>
      <c r="G6" s="9"/>
      <c r="H6" s="9"/>
      <c r="I6" s="9"/>
      <c r="J6" s="9"/>
      <c r="K6" s="9"/>
      <c r="L6" s="9"/>
      <c r="N6" s="9"/>
      <c r="O6" s="9"/>
      <c r="P6" s="9"/>
      <c r="Q6" s="9"/>
      <c r="R6" s="8"/>
      <c r="S6" s="8"/>
    </row>
    <row r="7" spans="1:19" ht="15.5" x14ac:dyDescent="0.35">
      <c r="A7" s="20" t="s">
        <v>46</v>
      </c>
      <c r="B7" s="17"/>
      <c r="C7" s="16" t="s">
        <v>47</v>
      </c>
      <c r="D7" s="16"/>
      <c r="E7" s="9"/>
      <c r="F7" s="9"/>
      <c r="G7" s="9"/>
      <c r="H7" s="9"/>
      <c r="I7" s="9"/>
      <c r="J7" s="9"/>
      <c r="K7" s="9"/>
      <c r="L7" s="9"/>
      <c r="N7" s="10"/>
      <c r="O7" s="10"/>
      <c r="P7" s="10"/>
      <c r="Q7" s="10"/>
      <c r="R7" s="11"/>
      <c r="S7" s="11"/>
    </row>
    <row r="8" spans="1:19" ht="15.5" x14ac:dyDescent="0.35">
      <c r="A8" s="20" t="s">
        <v>48</v>
      </c>
      <c r="B8" s="17"/>
      <c r="C8" s="16" t="s">
        <v>49</v>
      </c>
      <c r="D8" s="16"/>
      <c r="E8" s="9"/>
      <c r="F8" s="9"/>
      <c r="G8" s="9"/>
      <c r="H8" s="9"/>
      <c r="I8" s="9"/>
      <c r="J8" s="9"/>
      <c r="K8" s="9"/>
      <c r="L8" s="9"/>
      <c r="N8" s="9"/>
      <c r="O8" s="9"/>
      <c r="P8" s="9"/>
      <c r="Q8" s="9"/>
      <c r="R8" s="8"/>
      <c r="S8" s="8"/>
    </row>
    <row r="10" spans="1:19" ht="15" thickBot="1" x14ac:dyDescent="0.4"/>
    <row r="11" spans="1:19" ht="96" customHeight="1" thickBot="1" x14ac:dyDescent="0.4">
      <c r="A11" s="1" t="s">
        <v>0</v>
      </c>
      <c r="B11" s="2" t="s">
        <v>1</v>
      </c>
      <c r="C11" s="4" t="s">
        <v>50</v>
      </c>
    </row>
    <row r="12" spans="1:19" x14ac:dyDescent="0.35">
      <c r="A12" s="19">
        <v>1</v>
      </c>
      <c r="B12" s="3" t="s">
        <v>2</v>
      </c>
      <c r="C12" s="3"/>
    </row>
    <row r="13" spans="1:19" x14ac:dyDescent="0.35">
      <c r="A13" s="19">
        <v>2</v>
      </c>
      <c r="B13" s="3" t="s">
        <v>3</v>
      </c>
    </row>
    <row r="14" spans="1:19" x14ac:dyDescent="0.35">
      <c r="A14" s="19">
        <v>3</v>
      </c>
      <c r="B14" s="3" t="s">
        <v>4</v>
      </c>
    </row>
    <row r="15" spans="1:19" x14ac:dyDescent="0.35">
      <c r="A15" s="19">
        <v>4</v>
      </c>
      <c r="B15" s="3" t="s">
        <v>5</v>
      </c>
    </row>
    <row r="16" spans="1:19" x14ac:dyDescent="0.35">
      <c r="A16" s="19">
        <v>5</v>
      </c>
      <c r="B16" s="3" t="s">
        <v>6</v>
      </c>
    </row>
    <row r="17" spans="1:2" x14ac:dyDescent="0.35">
      <c r="A17" s="19">
        <v>6</v>
      </c>
      <c r="B17" s="3" t="s">
        <v>7</v>
      </c>
    </row>
    <row r="18" spans="1:2" x14ac:dyDescent="0.35">
      <c r="A18" s="19">
        <v>7</v>
      </c>
      <c r="B18" s="3" t="s">
        <v>8</v>
      </c>
    </row>
    <row r="19" spans="1:2" x14ac:dyDescent="0.35">
      <c r="A19" s="19">
        <v>8</v>
      </c>
      <c r="B19" s="3" t="s">
        <v>9</v>
      </c>
    </row>
    <row r="20" spans="1:2" x14ac:dyDescent="0.35">
      <c r="A20" s="19">
        <v>9</v>
      </c>
      <c r="B20" s="3" t="s">
        <v>10</v>
      </c>
    </row>
    <row r="21" spans="1:2" x14ac:dyDescent="0.35">
      <c r="A21" s="19">
        <v>10</v>
      </c>
      <c r="B21" s="3" t="s">
        <v>11</v>
      </c>
    </row>
    <row r="22" spans="1:2" x14ac:dyDescent="0.35">
      <c r="A22" s="19">
        <v>11</v>
      </c>
      <c r="B22" s="3" t="s">
        <v>12</v>
      </c>
    </row>
    <row r="23" spans="1:2" x14ac:dyDescent="0.35">
      <c r="A23" s="19">
        <v>12</v>
      </c>
      <c r="B23" s="3" t="s">
        <v>13</v>
      </c>
    </row>
    <row r="24" spans="1:2" x14ac:dyDescent="0.35">
      <c r="A24" s="19">
        <v>13</v>
      </c>
      <c r="B24" s="3" t="s">
        <v>14</v>
      </c>
    </row>
    <row r="25" spans="1:2" x14ac:dyDescent="0.35">
      <c r="A25" s="19">
        <v>14</v>
      </c>
      <c r="B25" s="3" t="s">
        <v>15</v>
      </c>
    </row>
    <row r="26" spans="1:2" x14ac:dyDescent="0.35">
      <c r="A26" s="19">
        <v>15</v>
      </c>
      <c r="B26" s="3" t="s">
        <v>16</v>
      </c>
    </row>
    <row r="27" spans="1:2" x14ac:dyDescent="0.35">
      <c r="A27" s="19">
        <v>16</v>
      </c>
      <c r="B27" s="3" t="s">
        <v>17</v>
      </c>
    </row>
    <row r="28" spans="1:2" x14ac:dyDescent="0.35">
      <c r="A28" s="19">
        <v>17</v>
      </c>
      <c r="B28" s="3" t="s">
        <v>18</v>
      </c>
    </row>
    <row r="29" spans="1:2" x14ac:dyDescent="0.35">
      <c r="A29" s="19">
        <v>18</v>
      </c>
      <c r="B29" s="3" t="s">
        <v>19</v>
      </c>
    </row>
    <row r="30" spans="1:2" x14ac:dyDescent="0.35">
      <c r="A30" s="19">
        <v>19</v>
      </c>
      <c r="B30" s="3" t="s">
        <v>20</v>
      </c>
    </row>
    <row r="31" spans="1:2" x14ac:dyDescent="0.35">
      <c r="A31" s="19">
        <v>20</v>
      </c>
      <c r="B31" s="3" t="s">
        <v>21</v>
      </c>
    </row>
    <row r="32" spans="1:2" x14ac:dyDescent="0.35">
      <c r="A32" s="19">
        <v>21</v>
      </c>
      <c r="B32" s="3" t="s">
        <v>22</v>
      </c>
    </row>
    <row r="33" spans="1:2" x14ac:dyDescent="0.35">
      <c r="A33" s="19">
        <v>22</v>
      </c>
      <c r="B33" s="3" t="s">
        <v>23</v>
      </c>
    </row>
    <row r="34" spans="1:2" x14ac:dyDescent="0.35">
      <c r="A34" s="19">
        <v>23</v>
      </c>
      <c r="B34" s="3" t="s">
        <v>24</v>
      </c>
    </row>
    <row r="35" spans="1:2" x14ac:dyDescent="0.35">
      <c r="A35" s="19">
        <v>24</v>
      </c>
      <c r="B35" s="3" t="s">
        <v>25</v>
      </c>
    </row>
    <row r="36" spans="1:2" x14ac:dyDescent="0.35">
      <c r="A36" s="19">
        <v>25</v>
      </c>
      <c r="B36" s="3" t="s">
        <v>26</v>
      </c>
    </row>
    <row r="37" spans="1:2" x14ac:dyDescent="0.35">
      <c r="A37" s="19">
        <v>26</v>
      </c>
      <c r="B37" s="3" t="s">
        <v>27</v>
      </c>
    </row>
    <row r="38" spans="1:2" x14ac:dyDescent="0.35">
      <c r="A38" s="19">
        <v>27</v>
      </c>
      <c r="B38" s="3" t="s">
        <v>28</v>
      </c>
    </row>
    <row r="39" spans="1:2" x14ac:dyDescent="0.35">
      <c r="A39" s="19">
        <v>28</v>
      </c>
      <c r="B39" s="3" t="s">
        <v>29</v>
      </c>
    </row>
    <row r="40" spans="1:2" x14ac:dyDescent="0.35">
      <c r="A40" s="19">
        <v>29</v>
      </c>
      <c r="B40" s="3" t="s">
        <v>30</v>
      </c>
    </row>
    <row r="41" spans="1:2" x14ac:dyDescent="0.35">
      <c r="A41" s="19">
        <v>30</v>
      </c>
      <c r="B41" s="3" t="s">
        <v>31</v>
      </c>
    </row>
    <row r="42" spans="1:2" x14ac:dyDescent="0.35">
      <c r="A42" s="19">
        <v>31</v>
      </c>
      <c r="B42" s="3" t="s">
        <v>32</v>
      </c>
    </row>
    <row r="43" spans="1:2" x14ac:dyDescent="0.35">
      <c r="A43" s="19">
        <v>32</v>
      </c>
      <c r="B43" s="3" t="s">
        <v>33</v>
      </c>
    </row>
    <row r="44" spans="1:2" x14ac:dyDescent="0.35">
      <c r="A44" s="19">
        <v>33</v>
      </c>
      <c r="B44" s="3" t="s">
        <v>34</v>
      </c>
    </row>
    <row r="45" spans="1:2" x14ac:dyDescent="0.35">
      <c r="A45" s="19">
        <v>34</v>
      </c>
      <c r="B45" s="3" t="s">
        <v>35</v>
      </c>
    </row>
    <row r="46" spans="1:2" x14ac:dyDescent="0.35">
      <c r="A46" s="19">
        <v>35</v>
      </c>
      <c r="B46" s="3" t="s">
        <v>36</v>
      </c>
    </row>
    <row r="47" spans="1:2" x14ac:dyDescent="0.35">
      <c r="A47" s="19">
        <v>36</v>
      </c>
      <c r="B47" s="3" t="s">
        <v>37</v>
      </c>
    </row>
    <row r="48" spans="1:2" x14ac:dyDescent="0.35">
      <c r="A48" s="19">
        <v>37</v>
      </c>
      <c r="B48" s="3" t="s">
        <v>38</v>
      </c>
    </row>
    <row r="49" spans="1:2" x14ac:dyDescent="0.35">
      <c r="A49" s="19">
        <v>38</v>
      </c>
      <c r="B49" s="3" t="s">
        <v>39</v>
      </c>
    </row>
    <row r="50" spans="1:2" x14ac:dyDescent="0.35">
      <c r="A50" s="19">
        <v>39</v>
      </c>
      <c r="B50" s="3" t="s">
        <v>40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H7" sqref="H7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Notas</vt:lpstr>
      <vt:lpstr>Hoja1</vt:lpstr>
      <vt:lpstr>Hoja2</vt:lpstr>
      <vt:lpstr>Notas!Área_de_extracción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Dell</cp:lastModifiedBy>
  <cp:lastPrinted>2025-08-14T19:27:16Z</cp:lastPrinted>
  <dcterms:created xsi:type="dcterms:W3CDTF">2021-12-02T17:38:43Z</dcterms:created>
  <dcterms:modified xsi:type="dcterms:W3CDTF">2026-07-01T13:45:29Z</dcterms:modified>
</cp:coreProperties>
</file>